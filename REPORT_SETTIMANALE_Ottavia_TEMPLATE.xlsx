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ottaviabeffa/Desktop/"/>
    </mc:Choice>
  </mc:AlternateContent>
  <xr:revisionPtr revIDLastSave="0" documentId="13_ncr:1_{E938BB54-F404-3940-A42B-AEF2C33C70FF}" xr6:coauthVersionLast="47" xr6:coauthVersionMax="47" xr10:uidLastSave="{00000000-0000-0000-0000-000000000000}"/>
  <bookViews>
    <workbookView xWindow="14900" yWindow="720" windowWidth="14500" windowHeight="18400" activeTab="1" xr2:uid="{00000000-000D-0000-FFFF-FFFF00000000}"/>
  </bookViews>
  <sheets>
    <sheet name="Dashboard Settimanale" sheetId="1" r:id="rId1"/>
    <sheet name="Tracker Giornaliero" sheetId="2" r:id="rId2"/>
    <sheet name="Appuntamenti Fissati" sheetId="3" r:id="rId3"/>
    <sheet name="Analisi Obiezioni" sheetId="4" r:id="rId4"/>
    <sheet name="📖 Istruzion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5" l="1"/>
  <c r="B31" i="5"/>
  <c r="B30" i="5"/>
  <c r="B29" i="5"/>
  <c r="G21" i="1"/>
  <c r="F21" i="1"/>
  <c r="E21" i="1"/>
  <c r="D21" i="1"/>
  <c r="C21" i="1"/>
  <c r="B21" i="1"/>
  <c r="H20" i="1"/>
  <c r="H19" i="1"/>
  <c r="H18" i="1"/>
  <c r="E13" i="1"/>
  <c r="D13" i="1"/>
  <c r="E12" i="1"/>
  <c r="D12" i="1"/>
  <c r="E11" i="1"/>
  <c r="D11" i="1"/>
  <c r="E10" i="1"/>
  <c r="D10" i="1"/>
  <c r="E9" i="1"/>
  <c r="D9" i="1"/>
</calcChain>
</file>

<file path=xl/sharedStrings.xml><?xml version="1.0" encoding="utf-8"?>
<sst xmlns="http://schemas.openxmlformats.org/spreadsheetml/2006/main" count="1179" uniqueCount="439">
  <si>
    <t>REPORT SETTIMANALE ATTIVITÀ - OTTAVIA</t>
  </si>
  <si>
    <t>Settimana:</t>
  </si>
  <si>
    <t>Dal [DATA] al [DATA]</t>
  </si>
  <si>
    <t>Compilato da:</t>
  </si>
  <si>
    <t>Ottavia</t>
  </si>
  <si>
    <t>📊 KPI PRINCIPALI DELLA SETTIMANA</t>
  </si>
  <si>
    <t>METRICA</t>
  </si>
  <si>
    <t>OBIETTIVO</t>
  </si>
  <si>
    <t>RISULTATO</t>
  </si>
  <si>
    <t>SCOSTAMENTO</t>
  </si>
  <si>
    <t>%</t>
  </si>
  <si>
    <t>Telefonate effettuate</t>
  </si>
  <si>
    <t>Email inviate</t>
  </si>
  <si>
    <t>Appuntamenti fissati</t>
  </si>
  <si>
    <t>Clienti interessati</t>
  </si>
  <si>
    <t>Follow-up programmati</t>
  </si>
  <si>
    <t>📈 DETTAGLIO PER CANALE</t>
  </si>
  <si>
    <t>CANALE</t>
  </si>
  <si>
    <t>CONTATTI
TOTALI</t>
  </si>
  <si>
    <t>CONTATTATI
QUESTA SETT.</t>
  </si>
  <si>
    <t>TELEFONATE</t>
  </si>
  <si>
    <t>EMAIL
INVIATE</t>
  </si>
  <si>
    <t>APPUNTAMENTI
FISSATI</t>
  </si>
  <si>
    <t>INTERESSATI</t>
  </si>
  <si>
    <t>% CONVERSIONE</t>
  </si>
  <si>
    <t>1. Clienti Privati (Irbema)</t>
  </si>
  <si>
    <t>2. Clienti Corporate</t>
  </si>
  <si>
    <t>3. Piattaforme Welfare</t>
  </si>
  <si>
    <t>TOTALE</t>
  </si>
  <si>
    <t>💡 HIGHLIGHTS DELLA SETTIMANA</t>
  </si>
  <si>
    <t>Successi:</t>
  </si>
  <si>
    <t>[Descrivi i principali successi della settimana]</t>
  </si>
  <si>
    <t>Difficoltà:</t>
  </si>
  <si>
    <t>[Descrivi eventuali difficoltà incontrate]</t>
  </si>
  <si>
    <t>Prossimi passi:</t>
  </si>
  <si>
    <t>[Pianifica le attività della prossima settimana]</t>
  </si>
  <si>
    <t>TRACKER ATTIVITÀ GIORNALIERE</t>
  </si>
  <si>
    <t>Istruzioni: Compila questa tabella ogni giorno con le attività svolte</t>
  </si>
  <si>
    <t>DATA</t>
  </si>
  <si>
    <t>GIORNO</t>
  </si>
  <si>
    <t>NOME/AZIENDA</t>
  </si>
  <si>
    <t>CONTATTO</t>
  </si>
  <si>
    <t>TIPO ATTIVITÀ</t>
  </si>
  <si>
    <t>ESITO</t>
  </si>
  <si>
    <t>PROSSIMO STEP</t>
  </si>
  <si>
    <t>DATA FOLLOW-UP</t>
  </si>
  <si>
    <t>NOTE</t>
  </si>
  <si>
    <t>16/12/2025</t>
  </si>
  <si>
    <t>Lunedì</t>
  </si>
  <si>
    <t>Privati</t>
  </si>
  <si>
    <t>Mario Rossi</t>
  </si>
  <si>
    <t>333-1234567</t>
  </si>
  <si>
    <t>Telefonata</t>
  </si>
  <si>
    <t>Non risponde</t>
  </si>
  <si>
    <t>Email inviata</t>
  </si>
  <si>
    <t>19/12/2025</t>
  </si>
  <si>
    <t>Richiamare venerdì</t>
  </si>
  <si>
    <t>Corporate</t>
  </si>
  <si>
    <t>Azienda XYZ</t>
  </si>
  <si>
    <t>hr@xyz.it</t>
  </si>
  <si>
    <t>Email</t>
  </si>
  <si>
    <t>Inviata</t>
  </si>
  <si>
    <t>Attendere risposta</t>
  </si>
  <si>
    <t>23/12/2025</t>
  </si>
  <si>
    <t>Follow-up se non risponde</t>
  </si>
  <si>
    <t>17/12/2025</t>
  </si>
  <si>
    <t>Martedì</t>
  </si>
  <si>
    <t>Laura Bianchi</t>
  </si>
  <si>
    <t>340-9876543</t>
  </si>
  <si>
    <t>Interessata</t>
  </si>
  <si>
    <t>Appuntamento fissato</t>
  </si>
  <si>
    <t>20/12/2025</t>
  </si>
  <si>
    <t>Dir. Comm. ore 11:00</t>
  </si>
  <si>
    <t>APPUNTAMENTI FISSATI CON DIRETTORE COMMERCIALE</t>
  </si>
  <si>
    <t>#</t>
  </si>
  <si>
    <t>ORA</t>
  </si>
  <si>
    <t>TELEFONO</t>
  </si>
  <si>
    <t>EMAIL</t>
  </si>
  <si>
    <t>STATO</t>
  </si>
  <si>
    <t>11:00</t>
  </si>
  <si>
    <t>l.bianchi@email.it</t>
  </si>
  <si>
    <t>Confermato</t>
  </si>
  <si>
    <t>Interessata a piano avanzato</t>
  </si>
  <si>
    <t>15:30</t>
  </si>
  <si>
    <t>Giuseppe Verdi</t>
  </si>
  <si>
    <t>338-1122334</t>
  </si>
  <si>
    <t>g.verdi@email.it</t>
  </si>
  <si>
    <t>Da confermare</t>
  </si>
  <si>
    <t>Richiamare giorno prima</t>
  </si>
  <si>
    <t>21/12/2025</t>
  </si>
  <si>
    <t>10:00</t>
  </si>
  <si>
    <t>Azienda ABC Srl</t>
  </si>
  <si>
    <t>02-12345678</t>
  </si>
  <si>
    <t>hr@abc.it</t>
  </si>
  <si>
    <t>Welfare aziendale</t>
  </si>
  <si>
    <t>ANALISI OBIEZIONI E MOTIVI DI RIFIUTO</t>
  </si>
  <si>
    <t>Traccia qui le principali obiezioni ricevute per migliorare gli script</t>
  </si>
  <si>
    <t>TIPO OBIEZIONE</t>
  </si>
  <si>
    <t>FREQUENZA</t>
  </si>
  <si>
    <t>COME È STATA GESTITA</t>
  </si>
  <si>
    <t>Costo troppo elevato</t>
  </si>
  <si>
    <t>Non voglio tecnologia</t>
  </si>
  <si>
    <t>Ci devo pensare</t>
  </si>
  <si>
    <t>Non è il momento giusto</t>
  </si>
  <si>
    <t>Già hanno altre soluzioni</t>
  </si>
  <si>
    <t>Non risponde mai</t>
  </si>
  <si>
    <t>📖 ISTRUZIONI PER L'USO DEL REPORT SETTIMANALE</t>
  </si>
  <si>
    <t>COME COMPILARE QUESTO REPORT</t>
  </si>
  <si>
    <t>1️⃣ OGNI GIORNO:</t>
  </si>
  <si>
    <t>✓ Compila il foglio "Tracker Giornaliero" con tutte le attività svolte</t>
  </si>
  <si>
    <t>✓ Aggiorna il foglio "Appuntamenti Fissati" con i nuovi appuntamenti</t>
  </si>
  <si>
    <t>✓ Annota nel foglio "Analisi Obiezioni" le obiezioni ricevute</t>
  </si>
  <si>
    <t>2️⃣ A FINE SETTIMANA (Venerdì):</t>
  </si>
  <si>
    <t>✓ Compila il foglio "Dashboard Settimanale"</t>
  </si>
  <si>
    <t>✓ Inserisci i numeri effettivi nelle celle C9-C13 (KPI Principali)</t>
  </si>
  <si>
    <t>✓ Inserisci i dati per canale nelle celle C18-G20</t>
  </si>
  <si>
    <t>✓ Scrivi highlights, difficoltà e prossimi passi</t>
  </si>
  <si>
    <t>✓ Invia il file al Direttore Commerciale via email</t>
  </si>
  <si>
    <t>3️⃣ KPI DA MONITORARE:</t>
  </si>
  <si>
    <t>📞 TELEFONATE EFFETTUATE</t>
  </si>
  <si>
    <t>Obiettivo: almeno 50 a settimana (10 al giorno)</t>
  </si>
  <si>
    <t>✉️ EMAIL INVIATE</t>
  </si>
  <si>
    <t>Obiettivo: almeno 30 a settimana</t>
  </si>
  <si>
    <t>📅 APPUNTAMENTI FISSATI</t>
  </si>
  <si>
    <t>Obiettivo: almeno 10 a settimana</t>
  </si>
  <si>
    <t>✅ CLIENTI INTERESSATI</t>
  </si>
  <si>
    <t>Obiettivo: almeno 15 a settimana</t>
  </si>
  <si>
    <t>🔄 FOLLOW-UP PROGRAMMATI</t>
  </si>
  <si>
    <t>Obiettivo: almeno 20 a settimana</t>
  </si>
  <si>
    <t>4️⃣ CODICI COLORE:</t>
  </si>
  <si>
    <t>🟢 VERDE</t>
  </si>
  <si>
    <t>🟡 GIALLO</t>
  </si>
  <si>
    <t>🔴 ROSSO</t>
  </si>
  <si>
    <t>⚪ GRIGIO</t>
  </si>
  <si>
    <t>5️⃣ PRIORITÀ SETTIMANALI:</t>
  </si>
  <si>
    <t>Settimana 1-2:</t>
  </si>
  <si>
    <t>Focus su Clienti Privati con offerta già inviata</t>
  </si>
  <si>
    <t>Settimana 3-4:</t>
  </si>
  <si>
    <t>Completare Privati + iniziare Corporate</t>
  </si>
  <si>
    <t>Settimana 5+:</t>
  </si>
  <si>
    <t>Follow-up + Piattaforme Welfare</t>
  </si>
  <si>
    <t>6️⃣ QUANDO INVIARE IL REPORT:</t>
  </si>
  <si>
    <t>✓ Ogni Venerdì entro le 18:00</t>
  </si>
  <si>
    <t>✓ A: Direttore Commerciale</t>
  </si>
  <si>
    <t>✓ Oggetto email: "Report Settimanale Ottavia - Settimana del [DATA]"</t>
  </si>
  <si>
    <t>❓ DOMANDE O DUBBI?</t>
  </si>
  <si>
    <t>Contatta il Direttore Commerciale: 335 7301206</t>
  </si>
  <si>
    <t>Email: stefania.rocca@medicagb.it</t>
  </si>
  <si>
    <t>Maria Carla Morroni</t>
  </si>
  <si>
    <t>Elisa Cattarossi</t>
  </si>
  <si>
    <t>Michela Annunzi</t>
  </si>
  <si>
    <t>Roberto Bifulco</t>
  </si>
  <si>
    <t>Giansanto Rizzotti</t>
  </si>
  <si>
    <t>Giuseppe</t>
  </si>
  <si>
    <t>Giusy Pizzo</t>
  </si>
  <si>
    <t>Francesca Grati</t>
  </si>
  <si>
    <t xml:space="preserve">Enzo Gag </t>
  </si>
  <si>
    <t>Luca Catrini</t>
  </si>
  <si>
    <t>elisa@cattarossi.it</t>
  </si>
  <si>
    <t>+393476735218</t>
  </si>
  <si>
    <t>3360949528</t>
  </si>
  <si>
    <t>393276246536</t>
  </si>
  <si>
    <t>pinogaglioti@gmail.com</t>
  </si>
  <si>
    <t>3458414686</t>
  </si>
  <si>
    <t>3429714170</t>
  </si>
  <si>
    <t>enzogag@tin.it</t>
  </si>
  <si>
    <t>3476854422</t>
  </si>
  <si>
    <t xml:space="preserve">Email </t>
  </si>
  <si>
    <t xml:space="preserve">Non risponde </t>
  </si>
  <si>
    <t>Interessato</t>
  </si>
  <si>
    <t>Non interessata</t>
  </si>
  <si>
    <t xml:space="preserve">Da ricontattare </t>
  </si>
  <si>
    <t>Email brochure</t>
  </si>
  <si>
    <t>Da ricontattare</t>
  </si>
  <si>
    <t>Dir. Comm. Ore 10.15</t>
  </si>
  <si>
    <t xml:space="preserve">Da ricontattare tra un mese </t>
  </si>
  <si>
    <t>10.15</t>
  </si>
  <si>
    <t>giansanto@rizzotti.it</t>
  </si>
  <si>
    <t>Privato</t>
  </si>
  <si>
    <t xml:space="preserve">Da confermare </t>
  </si>
  <si>
    <t>privati</t>
  </si>
  <si>
    <t xml:space="preserve">evidenziare l'aspetto poco invasivo, rinviare la brochure </t>
  </si>
  <si>
    <t xml:space="preserve">Martedì </t>
  </si>
  <si>
    <t>Emanuela</t>
  </si>
  <si>
    <t>doc.emi@libero.it</t>
  </si>
  <si>
    <t>Giorgio Ferranti</t>
  </si>
  <si>
    <t>Claudia Franceschini</t>
  </si>
  <si>
    <t>Valeria Ramus</t>
  </si>
  <si>
    <t>Giovanni Creton</t>
  </si>
  <si>
    <t>giovannicreton@gmail.com</t>
  </si>
  <si>
    <t>Andrea Vergani</t>
  </si>
  <si>
    <t>da ricontattare tra un mese, inivio brochure con prodotti piu economici</t>
  </si>
  <si>
    <t>Francesco Prandoni</t>
  </si>
  <si>
    <t xml:space="preserve">Tra una settimana </t>
  </si>
  <si>
    <t>inivata brochure con nuovi modelli</t>
  </si>
  <si>
    <t>Serena Scilleri</t>
  </si>
  <si>
    <t>scilleri.serena@libero.it</t>
  </si>
  <si>
    <t>Deanna Mantovani</t>
  </si>
  <si>
    <t>Intressata</t>
  </si>
  <si>
    <t>Dir.Comm. Ore 2.30</t>
  </si>
  <si>
    <t>14.30</t>
  </si>
  <si>
    <t>deannamant@outlook.it</t>
  </si>
  <si>
    <t>privato</t>
  </si>
  <si>
    <t xml:space="preserve">per avere un'idea </t>
  </si>
  <si>
    <t>Mercoledì</t>
  </si>
  <si>
    <t>Maria Mercel</t>
  </si>
  <si>
    <t>mertelmaria@gmail.com</t>
  </si>
  <si>
    <t>Tafaro</t>
  </si>
  <si>
    <t>Dir. Comm. Ore 10.30</t>
  </si>
  <si>
    <t>10.00</t>
  </si>
  <si>
    <t>t.tafaro@virgilio.it</t>
  </si>
  <si>
    <t>copire meglio chi siamo, semestrale, lazio</t>
  </si>
  <si>
    <t>Angela Ronconi</t>
  </si>
  <si>
    <t>Giuseppe Zonno</t>
  </si>
  <si>
    <t>il prima possibile (era in reunione)</t>
  </si>
  <si>
    <t>Daniele Brunelli</t>
  </si>
  <si>
    <t>martedi (era in reunione)</t>
  </si>
  <si>
    <t>Andrea Dente</t>
  </si>
  <si>
    <t>Francesco Pepe</t>
  </si>
  <si>
    <t>Dir.comm. Ore 10.00</t>
  </si>
  <si>
    <t>cicciopepe@libero.it</t>
  </si>
  <si>
    <t>audrey.mulassano@gmail.com</t>
  </si>
  <si>
    <t>Adriana Mulassano</t>
  </si>
  <si>
    <t>Ettore Destro</t>
  </si>
  <si>
    <t>Paola Scarpin</t>
  </si>
  <si>
    <t>Nessuna email</t>
  </si>
  <si>
    <t>Venerdi</t>
  </si>
  <si>
    <t>Valeriani</t>
  </si>
  <si>
    <t>dsvalerani@gmail.com</t>
  </si>
  <si>
    <t>Michele Lorieri</t>
  </si>
  <si>
    <t>lorierimichele@gmail.it</t>
  </si>
  <si>
    <t>Carla Martini</t>
  </si>
  <si>
    <t>c.martini2009@libero.it</t>
  </si>
  <si>
    <t>Gabriella Azzaro</t>
  </si>
  <si>
    <t xml:space="preserve">Privati </t>
  </si>
  <si>
    <t>Maria Ricciardelli</t>
  </si>
  <si>
    <t>cristianaruggeri2611@gmail.com</t>
  </si>
  <si>
    <t>Dir. Comm. Ore 11.00</t>
  </si>
  <si>
    <t>11.00</t>
  </si>
  <si>
    <t xml:space="preserve">
ricciardelli.ela@gmail.com</t>
  </si>
  <si>
    <t>3496428227</t>
  </si>
  <si>
    <t>illustrazione prodotti e prezzi</t>
  </si>
  <si>
    <t>Cristiana Ruggieri</t>
  </si>
  <si>
    <t>Valeria Zafon</t>
  </si>
  <si>
    <t>Nel pomeriggio era occupata</t>
  </si>
  <si>
    <t>Serena De Ponto</t>
  </si>
  <si>
    <t>eliocitro7@gmail.com</t>
  </si>
  <si>
    <t>Elia Citro</t>
  </si>
  <si>
    <t xml:space="preserve">Venerdi </t>
  </si>
  <si>
    <t>Norma Giannetti</t>
  </si>
  <si>
    <t>Numero inesistente no email</t>
  </si>
  <si>
    <t>Giovanni Dandraia</t>
  </si>
  <si>
    <t>Andrea Spelta</t>
  </si>
  <si>
    <t>speltaandrea@gmail.com</t>
  </si>
  <si>
    <t>Simonetta</t>
  </si>
  <si>
    <t>Arianna Sichich</t>
  </si>
  <si>
    <t>albertinstefania@gmail.com</t>
  </si>
  <si>
    <t>Stefania Albertin</t>
  </si>
  <si>
    <t>graziafiumana@gmail.com</t>
  </si>
  <si>
    <t>Grazia Fiumana</t>
  </si>
  <si>
    <t>Leonardo Perini</t>
  </si>
  <si>
    <t>Non interessato</t>
  </si>
  <si>
    <t>Addolorata Lomardi</t>
  </si>
  <si>
    <t>campi.barbara@yahoo.it</t>
  </si>
  <si>
    <t>Barbara Campi</t>
  </si>
  <si>
    <t>Non disponibile/inesistente</t>
  </si>
  <si>
    <t>Giulia Clementi</t>
  </si>
  <si>
    <t>Diego Dainese</t>
  </si>
  <si>
    <t>Raffaella Casubolo</t>
  </si>
  <si>
    <t>raffaellacasubolo71@gmail.com</t>
  </si>
  <si>
    <t>è ricoverato in ospedale tra una sett.</t>
  </si>
  <si>
    <t xml:space="preserve">Non interessata </t>
  </si>
  <si>
    <t>sett. 12 - 16/01</t>
  </si>
  <si>
    <t>sett. 19 - 23/01</t>
  </si>
  <si>
    <t>Tiziana</t>
  </si>
  <si>
    <t>Giuliana</t>
  </si>
  <si>
    <t>giuliberard@gmail.com</t>
  </si>
  <si>
    <t>tizianab953@gmail.com</t>
  </si>
  <si>
    <t>Laila Moustafa</t>
  </si>
  <si>
    <t>Inivata brochure con nuovi modelli</t>
  </si>
  <si>
    <t>3494378160</t>
  </si>
  <si>
    <t>Carmen Tierno</t>
  </si>
  <si>
    <t>apinucciadaluiso@gmail.com</t>
  </si>
  <si>
    <t>Giuseppuina</t>
  </si>
  <si>
    <t>3392045623</t>
  </si>
  <si>
    <t>Elena Bodini</t>
  </si>
  <si>
    <t xml:space="preserve">Email inivata </t>
  </si>
  <si>
    <t>Aurora Teruggi</t>
  </si>
  <si>
    <t>3496156239</t>
  </si>
  <si>
    <t>3803263069</t>
  </si>
  <si>
    <t>Sindaco Delvigo</t>
  </si>
  <si>
    <t>usa.rossacroce@gmail.com</t>
  </si>
  <si>
    <t>Sig. Froilan</t>
  </si>
  <si>
    <t>Claudio Fontana</t>
  </si>
  <si>
    <t>fontanaclaudio@hotmail.it</t>
  </si>
  <si>
    <t>3498421721</t>
  </si>
  <si>
    <t>Claudia Peron</t>
  </si>
  <si>
    <t>Francesca Carofei</t>
  </si>
  <si>
    <t>fra.carofei@icloud.com</t>
  </si>
  <si>
    <t>terragni.monica@gmail.com</t>
  </si>
  <si>
    <t>Monica Terragni</t>
  </si>
  <si>
    <t>Silvia Grossi</t>
  </si>
  <si>
    <t>Maria Di Nuzzo</t>
  </si>
  <si>
    <t xml:space="preserve"> amariadinuzzo358@gmail.com</t>
  </si>
  <si>
    <t>concettacinardo@gmail.com</t>
  </si>
  <si>
    <t>Concetta</t>
  </si>
  <si>
    <t>Antonella Robbiani</t>
  </si>
  <si>
    <t>Paola Giacobelli</t>
  </si>
  <si>
    <t>3343442458</t>
  </si>
  <si>
    <t>3927179250</t>
  </si>
  <si>
    <t>Elisabetta Ghidella</t>
  </si>
  <si>
    <t>Giancarlo Fissone</t>
  </si>
  <si>
    <t>Occupato</t>
  </si>
  <si>
    <t>3387318749</t>
  </si>
  <si>
    <t>Monica Morelli</t>
  </si>
  <si>
    <t>3288610478</t>
  </si>
  <si>
    <t>Giorgia Origa</t>
  </si>
  <si>
    <t>Luciana garrisi</t>
  </si>
  <si>
    <t>Emanuela Balzarotti</t>
  </si>
  <si>
    <t>Maria</t>
  </si>
  <si>
    <t>Giovanna Salvidio</t>
  </si>
  <si>
    <t>Roberta Verazzo</t>
  </si>
  <si>
    <t>Anna Posa</t>
  </si>
  <si>
    <t>Barbara Camorani</t>
  </si>
  <si>
    <t>3349057602</t>
  </si>
  <si>
    <t>toninoficicchia4@gmail.com</t>
  </si>
  <si>
    <t>altamarea.2018@libero.it</t>
  </si>
  <si>
    <t>verazzoroberta@yahoo.it</t>
  </si>
  <si>
    <t>annablu01@gmail.com</t>
  </si>
  <si>
    <t>Tonino Ficicchia</t>
  </si>
  <si>
    <t>fiorenza.farne1@gmail.com</t>
  </si>
  <si>
    <t>Flavia Farmè</t>
  </si>
  <si>
    <t>Giovedì</t>
  </si>
  <si>
    <t xml:space="preserve">Venerdì </t>
  </si>
  <si>
    <t>Antonia Bonavita</t>
  </si>
  <si>
    <t>Nicola</t>
  </si>
  <si>
    <t>Mauro Reggi</t>
  </si>
  <si>
    <t>Simone Corpino</t>
  </si>
  <si>
    <t>Mariaelena Torrisi</t>
  </si>
  <si>
    <t xml:space="preserve">Gaetano Santamaria </t>
  </si>
  <si>
    <t>Tatiana</t>
  </si>
  <si>
    <t>393402534586</t>
  </si>
  <si>
    <t>+39 335 599 6265</t>
  </si>
  <si>
    <t>+39 338 690 1311</t>
  </si>
  <si>
    <t>+393928995340</t>
  </si>
  <si>
    <t>Imma Grimaldi</t>
  </si>
  <si>
    <t>Dir. Comm. Ore 15.00</t>
  </si>
  <si>
    <t>nessuna risposta e nessuna mail</t>
  </si>
  <si>
    <t>Sabina Pascuttini</t>
  </si>
  <si>
    <t>Raffaele Di martino</t>
  </si>
  <si>
    <t>Tiziana Curto/ frisardi</t>
  </si>
  <si>
    <t>Pierluigi Etzi</t>
  </si>
  <si>
    <t xml:space="preserve"> nessun nome</t>
  </si>
  <si>
    <t>3318303852</t>
  </si>
  <si>
    <t>pierluigietzi69@libero.it</t>
  </si>
  <si>
    <t xml:space="preserve">kimiamamisegua@live.it
</t>
  </si>
  <si>
    <t xml:space="preserve">mandare la mail con la brochure </t>
  </si>
  <si>
    <t>Dir. Comm. Ore 10.00</t>
  </si>
  <si>
    <t>Numero sbagliato</t>
  </si>
  <si>
    <t>Lucio Comazza</t>
  </si>
  <si>
    <t>sarottoanna@gmail.com</t>
  </si>
  <si>
    <t xml:space="preserve">Anna </t>
  </si>
  <si>
    <t>francescaamaddeo@gmail.com</t>
  </si>
  <si>
    <t>Francesca Amaddeo</t>
  </si>
  <si>
    <t>daniel.sutera@virgilio.it</t>
  </si>
  <si>
    <t>Daniel Sutera</t>
  </si>
  <si>
    <t>katiadondero@gmail.com</t>
  </si>
  <si>
    <t>manuela.poggi1@icloud.com</t>
  </si>
  <si>
    <t>vivianpontarin@gmail.com</t>
  </si>
  <si>
    <t>Katia Dondero</t>
  </si>
  <si>
    <t>Vivian Pontarini</t>
  </si>
  <si>
    <t>Manuela Poggi</t>
  </si>
  <si>
    <t>sett. 26-30/01</t>
  </si>
  <si>
    <t>3385643188</t>
  </si>
  <si>
    <t>Antonella Iacovitti</t>
  </si>
  <si>
    <t>Alina Macii</t>
  </si>
  <si>
    <t>Giuseppe Porretta</t>
  </si>
  <si>
    <t>Emilio Martire</t>
  </si>
  <si>
    <t>Angela Rotatori</t>
  </si>
  <si>
    <t>per la ricerca di lavoro</t>
  </si>
  <si>
    <t>Marilena Cardoni</t>
  </si>
  <si>
    <t>Alessandra PAVANELLO</t>
  </si>
  <si>
    <t>Anna Maria Avenia</t>
  </si>
  <si>
    <t>Maria Chiara Baldassini</t>
  </si>
  <si>
    <t>Elena</t>
  </si>
  <si>
    <t>Luca Fregolent</t>
  </si>
  <si>
    <t>Gianluigi Di Berardo</t>
  </si>
  <si>
    <t>Chiara Sperotto</t>
  </si>
  <si>
    <t>Alberto Locatelli</t>
  </si>
  <si>
    <t>Calogero Nocera</t>
  </si>
  <si>
    <t>Simone Parravicini</t>
  </si>
  <si>
    <t xml:space="preserve">Andrea Mercuri </t>
  </si>
  <si>
    <t xml:space="preserve">Andrea Fossi </t>
  </si>
  <si>
    <t>Rosaria Serino Mormone</t>
  </si>
  <si>
    <t>sett. 02-06/02</t>
  </si>
  <si>
    <t>Mangano Palade</t>
  </si>
  <si>
    <t>Andrea D'Avelia</t>
  </si>
  <si>
    <t>Leopoldo Giordano</t>
  </si>
  <si>
    <t>Enzo Pedron</t>
  </si>
  <si>
    <t>Andrea Dindo</t>
  </si>
  <si>
    <t>andreadindo1@gmail.com</t>
  </si>
  <si>
    <t>Maria Ciano</t>
  </si>
  <si>
    <t>Francesco Egiziano</t>
  </si>
  <si>
    <t xml:space="preserve">Stefano Vincenzo Negri </t>
  </si>
  <si>
    <t>Luisa Foglia</t>
  </si>
  <si>
    <t>Cristina De Plama</t>
  </si>
  <si>
    <t>numero non attivo</t>
  </si>
  <si>
    <t>Dir. Comm. 18.45</t>
  </si>
  <si>
    <t>Dir. Comm. 12.00</t>
  </si>
  <si>
    <t>Messagio Inviato</t>
  </si>
  <si>
    <t>Antonella Iurilli</t>
  </si>
  <si>
    <t>Beatrice Casoni</t>
  </si>
  <si>
    <t>Mary De Sanctis</t>
  </si>
  <si>
    <t>Dir. Comm. 10.30</t>
  </si>
  <si>
    <t>Francesco Celi</t>
  </si>
  <si>
    <t>Giovanna Giordano</t>
  </si>
  <si>
    <t>Marco Porcu</t>
  </si>
  <si>
    <t>Roberta Ziliani</t>
  </si>
  <si>
    <t>Marco Olivieri</t>
  </si>
  <si>
    <t>Jonathan Pasqual</t>
  </si>
  <si>
    <t>Dir. Comm. 16.00</t>
  </si>
  <si>
    <t>Dir. Comm. 18.30</t>
  </si>
  <si>
    <t>sett. 08-13/02</t>
  </si>
  <si>
    <t>Gianmario Cocco</t>
  </si>
  <si>
    <t xml:space="preserve">Maurizio Brugnaro </t>
  </si>
  <si>
    <t>Liviano Baido</t>
  </si>
  <si>
    <t>Alberto Avanzi</t>
  </si>
  <si>
    <t>Michela Isoscelli</t>
  </si>
  <si>
    <t>Alberto De Micheli</t>
  </si>
  <si>
    <t>Giusy Di Napoli</t>
  </si>
  <si>
    <t>Giovanna Santamaria</t>
  </si>
  <si>
    <t>Tina Zingale</t>
  </si>
  <si>
    <t>da richiamare</t>
  </si>
  <si>
    <t>Rita Galletto</t>
  </si>
  <si>
    <t>Massimilaino Paoletti</t>
  </si>
  <si>
    <t>Francesco Pizzichemi</t>
  </si>
  <si>
    <t>Bruna Veronesi</t>
  </si>
  <si>
    <t>Dir. Comm. 15.00</t>
  </si>
  <si>
    <t>valuta la brouchure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</si>
</sst>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3B5BA5"/>
      <name val="Calibri"/>
      <family val="2"/>
    </font>
    <font>
      <b/>
      <sz val="11"/>
      <name val="Calibri"/>
      <family val="2"/>
    </font>
    <font>
      <sz val="11"/>
      <color rgb="FF3B5BA5"/>
      <name val="Calibri"/>
      <family val="2"/>
    </font>
    <font>
      <b/>
      <sz val="13"/>
      <color rgb="FF3B5BA5"/>
      <name val="Calibri"/>
      <family val="2"/>
    </font>
    <font>
      <b/>
      <sz val="11"/>
      <color rgb="FFFFFFFF"/>
      <name val="Calibri"/>
      <family val="2"/>
    </font>
    <font>
      <b/>
      <sz val="14"/>
      <color rgb="FF3B5BA5"/>
      <name val="Calibri"/>
      <family val="2"/>
    </font>
    <font>
      <i/>
      <sz val="9"/>
      <color rgb="FF666666"/>
      <name val="Calibri"/>
      <family val="2"/>
    </font>
    <font>
      <b/>
      <sz val="12"/>
      <color rgb="FF3B5BA5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3"/>
      <color rgb="FF000000"/>
      <name val="Arial"/>
      <family val="2"/>
    </font>
    <font>
      <sz val="13"/>
      <color rgb="FF000000"/>
      <name val="Calibri"/>
      <family val="2"/>
      <scheme val="minor"/>
    </font>
    <font>
      <sz val="12"/>
      <color theme="1"/>
      <name val="Aptos"/>
    </font>
  </fonts>
  <fills count="22">
    <fill>
      <patternFill patternType="none"/>
    </fill>
    <fill>
      <patternFill patternType="gray125"/>
    </fill>
    <fill>
      <patternFill patternType="solid">
        <fgColor rgb="FF3B5BA5"/>
        <bgColor rgb="FF3B5B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E8F5E9"/>
        <bgColor rgb="FFE8F5E9"/>
      </patternFill>
    </fill>
    <fill>
      <patternFill patternType="solid">
        <fgColor rgb="FFFFEB9C"/>
        <bgColor rgb="FFFFEB9C"/>
      </patternFill>
    </fill>
    <fill>
      <patternFill patternType="solid">
        <fgColor rgb="FFFFF9E6"/>
        <bgColor rgb="FFFFF9E6"/>
      </patternFill>
    </fill>
    <fill>
      <patternFill patternType="solid">
        <fgColor rgb="FFE3F2FD"/>
        <bgColor rgb="FFE3F2FD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0" fillId="7" borderId="1" xfId="0" applyFill="1" applyBorder="1"/>
    <xf numFmtId="0" fontId="0" fillId="10" borderId="1" xfId="0" applyFill="1" applyBorder="1"/>
    <xf numFmtId="14" fontId="0" fillId="0" borderId="1" xfId="0" applyNumberFormat="1" applyBorder="1"/>
    <xf numFmtId="0" fontId="0" fillId="0" borderId="2" xfId="0" applyBorder="1"/>
    <xf numFmtId="0" fontId="1" fillId="0" borderId="1" xfId="0" applyFont="1" applyBorder="1"/>
    <xf numFmtId="0" fontId="0" fillId="11" borderId="1" xfId="0" applyFill="1" applyBorder="1"/>
    <xf numFmtId="0" fontId="0" fillId="0" borderId="0" xfId="0" applyAlignment="1">
      <alignment horizontal="left"/>
    </xf>
    <xf numFmtId="0" fontId="10" fillId="0" borderId="0" xfId="1"/>
    <xf numFmtId="0" fontId="10" fillId="0" borderId="1" xfId="1" applyBorder="1"/>
    <xf numFmtId="3" fontId="0" fillId="11" borderId="1" xfId="0" quotePrefix="1" applyNumberFormat="1" applyFill="1" applyBorder="1" applyAlignment="1">
      <alignment horizontal="left"/>
    </xf>
    <xf numFmtId="3" fontId="0" fillId="0" borderId="1" xfId="0" quotePrefix="1" applyNumberFormat="1" applyBorder="1" applyAlignment="1">
      <alignment horizontal="left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3" fontId="0" fillId="11" borderId="1" xfId="0" quotePrefix="1" applyNumberFormat="1" applyFill="1" applyBorder="1" applyAlignment="1">
      <alignment horizontal="left" wrapText="1"/>
    </xf>
    <xf numFmtId="0" fontId="0" fillId="17" borderId="1" xfId="0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2" fillId="0" borderId="1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/>
    </xf>
    <xf numFmtId="0" fontId="0" fillId="18" borderId="1" xfId="0" applyFill="1" applyBorder="1"/>
    <xf numFmtId="0" fontId="0" fillId="0" borderId="1" xfId="0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12" fillId="0" borderId="0" xfId="1" applyFont="1" applyAlignment="1">
      <alignment horizontal="left"/>
    </xf>
    <xf numFmtId="0" fontId="11" fillId="0" borderId="1" xfId="1" quotePrefix="1" applyFont="1" applyFill="1" applyBorder="1" applyAlignment="1">
      <alignment horizontal="left" wrapText="1"/>
    </xf>
    <xf numFmtId="0" fontId="12" fillId="0" borderId="1" xfId="1" quotePrefix="1" applyFont="1" applyFill="1" applyBorder="1" applyAlignment="1">
      <alignment horizontal="left" wrapText="1"/>
    </xf>
    <xf numFmtId="0" fontId="12" fillId="0" borderId="1" xfId="1" applyFont="1" applyBorder="1" applyAlignment="1">
      <alignment horizontal="left"/>
    </xf>
    <xf numFmtId="0" fontId="12" fillId="0" borderId="0" xfId="1" applyFont="1" applyAlignment="1">
      <alignment horizontal="left" wrapText="1"/>
    </xf>
    <xf numFmtId="0" fontId="10" fillId="0" borderId="1" xfId="1" applyFill="1" applyBorder="1" applyAlignment="1">
      <alignment horizontal="left" wrapText="1"/>
    </xf>
    <xf numFmtId="0" fontId="10" fillId="11" borderId="1" xfId="1" applyFill="1" applyBorder="1" applyAlignment="1">
      <alignment wrapText="1"/>
    </xf>
    <xf numFmtId="0" fontId="10" fillId="19" borderId="1" xfId="1" applyFill="1" applyBorder="1" applyAlignment="1">
      <alignment wrapText="1"/>
    </xf>
    <xf numFmtId="0" fontId="10" fillId="0" borderId="1" xfId="1" applyBorder="1" applyAlignment="1">
      <alignment horizontal="left"/>
    </xf>
    <xf numFmtId="0" fontId="0" fillId="11" borderId="1" xfId="0" quotePrefix="1" applyFill="1" applyBorder="1" applyAlignment="1">
      <alignment horizontal="left"/>
    </xf>
    <xf numFmtId="0" fontId="0" fillId="11" borderId="2" xfId="0" applyFill="1" applyBorder="1"/>
    <xf numFmtId="0" fontId="0" fillId="11" borderId="0" xfId="0" applyFill="1" applyAlignment="1">
      <alignment horizontal="left"/>
    </xf>
    <xf numFmtId="0" fontId="0" fillId="11" borderId="0" xfId="0" applyFill="1"/>
    <xf numFmtId="14" fontId="0" fillId="0" borderId="0" xfId="0" applyNumberFormat="1"/>
    <xf numFmtId="0" fontId="0" fillId="15" borderId="0" xfId="0" applyFill="1"/>
    <xf numFmtId="0" fontId="0" fillId="12" borderId="0" xfId="0" applyFill="1"/>
    <xf numFmtId="0" fontId="0" fillId="17" borderId="0" xfId="0" applyFill="1"/>
    <xf numFmtId="0" fontId="0" fillId="11" borderId="3" xfId="0" applyFill="1" applyBorder="1"/>
    <xf numFmtId="0" fontId="0" fillId="20" borderId="0" xfId="0" applyFill="1"/>
    <xf numFmtId="0" fontId="0" fillId="14" borderId="0" xfId="0" applyFill="1"/>
    <xf numFmtId="0" fontId="1" fillId="11" borderId="1" xfId="0" quotePrefix="1" applyFont="1" applyFill="1" applyBorder="1" applyAlignment="1">
      <alignment horizontal="left"/>
    </xf>
    <xf numFmtId="0" fontId="13" fillId="11" borderId="1" xfId="0" quotePrefix="1" applyFont="1" applyFill="1" applyBorder="1" applyAlignment="1">
      <alignment horizontal="left"/>
    </xf>
    <xf numFmtId="0" fontId="14" fillId="0" borderId="0" xfId="0" applyFont="1"/>
    <xf numFmtId="0" fontId="10" fillId="11" borderId="1" xfId="1" applyFill="1" applyBorder="1"/>
    <xf numFmtId="0" fontId="10" fillId="11" borderId="0" xfId="1" applyFill="1" applyBorder="1"/>
    <xf numFmtId="0" fontId="0" fillId="11" borderId="1" xfId="0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7" borderId="0" xfId="0" applyFont="1" applyFill="1"/>
    <xf numFmtId="0" fontId="0" fillId="9" borderId="0" xfId="0" applyFill="1"/>
    <xf numFmtId="0" fontId="0" fillId="6" borderId="0" xfId="0" applyFill="1"/>
    <xf numFmtId="0" fontId="3" fillId="9" borderId="0" xfId="0" applyFont="1" applyFill="1"/>
    <xf numFmtId="0" fontId="5" fillId="0" borderId="0" xfId="0" applyFont="1"/>
    <xf numFmtId="0" fontId="3" fillId="5" borderId="0" xfId="0" applyFont="1" applyFill="1"/>
    <xf numFmtId="0" fontId="0" fillId="8" borderId="0" xfId="0" applyFill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4" borderId="0" xfId="0" applyFont="1" applyFill="1"/>
    <xf numFmtId="0" fontId="5" fillId="0" borderId="0" xfId="0" applyFont="1" applyAlignment="1">
      <alignment horizontal="center"/>
    </xf>
    <xf numFmtId="0" fontId="15" fillId="0" borderId="0" xfId="0" applyFont="1"/>
    <xf numFmtId="0" fontId="0" fillId="11" borderId="0" xfId="0" applyFill="1" applyBorder="1"/>
    <xf numFmtId="0" fontId="0" fillId="16" borderId="0" xfId="0" applyFill="1"/>
    <xf numFmtId="0" fontId="16" fillId="0" borderId="0" xfId="0" applyFont="1"/>
    <xf numFmtId="0" fontId="0" fillId="0" borderId="0" xfId="0" applyFill="1"/>
    <xf numFmtId="0" fontId="0" fillId="21" borderId="0" xfId="0" applyFill="1"/>
    <xf numFmtId="0" fontId="17" fillId="11" borderId="1" xfId="0" applyFont="1" applyFill="1" applyBorder="1" applyAlignment="1">
      <alignment horizontal="left"/>
    </xf>
    <xf numFmtId="0" fontId="17" fillId="11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ristianaruggeri2611@gmail.com" TargetMode="External"/><Relationship Id="rId18" Type="http://schemas.openxmlformats.org/officeDocument/2006/relationships/hyperlink" Target="mailto:campi.barbara@yahoo.it" TargetMode="External"/><Relationship Id="rId26" Type="http://schemas.openxmlformats.org/officeDocument/2006/relationships/hyperlink" Target="mailto:terragni.monica@gmail.com" TargetMode="External"/><Relationship Id="rId39" Type="http://schemas.openxmlformats.org/officeDocument/2006/relationships/hyperlink" Target="mailto:manuela.poggi1@icloud.com" TargetMode="External"/><Relationship Id="rId21" Type="http://schemas.openxmlformats.org/officeDocument/2006/relationships/hyperlink" Target="mailto:tizianab953@gmail.com" TargetMode="External"/><Relationship Id="rId34" Type="http://schemas.openxmlformats.org/officeDocument/2006/relationships/hyperlink" Target="mailto:kimiamamisegua@live.it" TargetMode="External"/><Relationship Id="rId7" Type="http://schemas.openxmlformats.org/officeDocument/2006/relationships/hyperlink" Target="mailto:scilleri.serena@libero.it" TargetMode="External"/><Relationship Id="rId2" Type="http://schemas.openxmlformats.org/officeDocument/2006/relationships/hyperlink" Target="mailto:pinogaglioti@gmail.com" TargetMode="External"/><Relationship Id="rId16" Type="http://schemas.openxmlformats.org/officeDocument/2006/relationships/hyperlink" Target="mailto:albertinstefania@gmail.com" TargetMode="External"/><Relationship Id="rId20" Type="http://schemas.openxmlformats.org/officeDocument/2006/relationships/hyperlink" Target="mailto:giuliberard@gmail.com" TargetMode="External"/><Relationship Id="rId29" Type="http://schemas.openxmlformats.org/officeDocument/2006/relationships/hyperlink" Target="mailto:altamarea.2018@libero.it" TargetMode="External"/><Relationship Id="rId41" Type="http://schemas.openxmlformats.org/officeDocument/2006/relationships/hyperlink" Target="mailto:andreadindo1@gmail.com" TargetMode="External"/><Relationship Id="rId1" Type="http://schemas.openxmlformats.org/officeDocument/2006/relationships/hyperlink" Target="mailto:elisa@cattarossi.it" TargetMode="External"/><Relationship Id="rId6" Type="http://schemas.openxmlformats.org/officeDocument/2006/relationships/hyperlink" Target="mailto:giovannicreton@gmail.com" TargetMode="External"/><Relationship Id="rId11" Type="http://schemas.openxmlformats.org/officeDocument/2006/relationships/hyperlink" Target="mailto:lorierimichele@gmail.it" TargetMode="External"/><Relationship Id="rId24" Type="http://schemas.openxmlformats.org/officeDocument/2006/relationships/hyperlink" Target="mailto:fontanaclaudio@hotmail.it" TargetMode="External"/><Relationship Id="rId32" Type="http://schemas.openxmlformats.org/officeDocument/2006/relationships/hyperlink" Target="mailto:fiorenza.farne1@gmail.com" TargetMode="External"/><Relationship Id="rId37" Type="http://schemas.openxmlformats.org/officeDocument/2006/relationships/hyperlink" Target="mailto:daniel.sutera@virgilio.it" TargetMode="External"/><Relationship Id="rId40" Type="http://schemas.openxmlformats.org/officeDocument/2006/relationships/hyperlink" Target="mailto:vivianpontarin@gmail.com" TargetMode="External"/><Relationship Id="rId5" Type="http://schemas.openxmlformats.org/officeDocument/2006/relationships/hyperlink" Target="mailto:giorgio.ferranti@msn.com" TargetMode="External"/><Relationship Id="rId15" Type="http://schemas.openxmlformats.org/officeDocument/2006/relationships/hyperlink" Target="mailto:speltaandrea@gmail.com" TargetMode="External"/><Relationship Id="rId23" Type="http://schemas.openxmlformats.org/officeDocument/2006/relationships/hyperlink" Target="mailto:usa.rossacroce@gmail.com" TargetMode="External"/><Relationship Id="rId28" Type="http://schemas.openxmlformats.org/officeDocument/2006/relationships/hyperlink" Target="mailto:toninoficicchia4@gmail.com" TargetMode="External"/><Relationship Id="rId36" Type="http://schemas.openxmlformats.org/officeDocument/2006/relationships/hyperlink" Target="mailto:francescaamaddeo@gmail.com" TargetMode="External"/><Relationship Id="rId10" Type="http://schemas.openxmlformats.org/officeDocument/2006/relationships/hyperlink" Target="mailto:dsvalerani@gmail.com" TargetMode="External"/><Relationship Id="rId19" Type="http://schemas.openxmlformats.org/officeDocument/2006/relationships/hyperlink" Target="mailto:raffaellacasubolo71@gmail.com" TargetMode="External"/><Relationship Id="rId31" Type="http://schemas.openxmlformats.org/officeDocument/2006/relationships/hyperlink" Target="mailto:annablu01@gmail.com" TargetMode="External"/><Relationship Id="rId4" Type="http://schemas.openxmlformats.org/officeDocument/2006/relationships/hyperlink" Target="mailto:doc.emi@libero.it" TargetMode="External"/><Relationship Id="rId9" Type="http://schemas.openxmlformats.org/officeDocument/2006/relationships/hyperlink" Target="mailto:audrey.mulassano@gmail.com" TargetMode="External"/><Relationship Id="rId14" Type="http://schemas.openxmlformats.org/officeDocument/2006/relationships/hyperlink" Target="mailto:eliocitro7@gmail.com" TargetMode="External"/><Relationship Id="rId22" Type="http://schemas.openxmlformats.org/officeDocument/2006/relationships/hyperlink" Target="mailto:apinucciadaluiso@gmail.com" TargetMode="External"/><Relationship Id="rId27" Type="http://schemas.openxmlformats.org/officeDocument/2006/relationships/hyperlink" Target="mailto:concettacinardo@gmail.com" TargetMode="External"/><Relationship Id="rId30" Type="http://schemas.openxmlformats.org/officeDocument/2006/relationships/hyperlink" Target="mailto:verazzoroberta@yahoo.it" TargetMode="External"/><Relationship Id="rId35" Type="http://schemas.openxmlformats.org/officeDocument/2006/relationships/hyperlink" Target="mailto:sarottoanna@gmail.com" TargetMode="External"/><Relationship Id="rId8" Type="http://schemas.openxmlformats.org/officeDocument/2006/relationships/hyperlink" Target="mailto:mertelmaria@gmail.com" TargetMode="External"/><Relationship Id="rId3" Type="http://schemas.openxmlformats.org/officeDocument/2006/relationships/hyperlink" Target="mailto:enzogag@tin.it" TargetMode="External"/><Relationship Id="rId12" Type="http://schemas.openxmlformats.org/officeDocument/2006/relationships/hyperlink" Target="mailto:c.martini2009@libero.it" TargetMode="External"/><Relationship Id="rId17" Type="http://schemas.openxmlformats.org/officeDocument/2006/relationships/hyperlink" Target="mailto:graziafiumana@gmail.com" TargetMode="External"/><Relationship Id="rId25" Type="http://schemas.openxmlformats.org/officeDocument/2006/relationships/hyperlink" Target="mailto:fra.carofei@icloud.com" TargetMode="External"/><Relationship Id="rId33" Type="http://schemas.openxmlformats.org/officeDocument/2006/relationships/hyperlink" Target="mailto:pierluigietzi69@libero.it" TargetMode="External"/><Relationship Id="rId38" Type="http://schemas.openxmlformats.org/officeDocument/2006/relationships/hyperlink" Target="mailto:katiadondero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.tafaro@virgilio.it" TargetMode="External"/><Relationship Id="rId2" Type="http://schemas.openxmlformats.org/officeDocument/2006/relationships/hyperlink" Target="mailto:deannamant@outlook.it" TargetMode="External"/><Relationship Id="rId1" Type="http://schemas.openxmlformats.org/officeDocument/2006/relationships/hyperlink" Target="mailto:giansanto@rizzotti.it" TargetMode="External"/><Relationship Id="rId4" Type="http://schemas.openxmlformats.org/officeDocument/2006/relationships/hyperlink" Target="mailto:cicciopepe@liber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sqref="A1:H1"/>
    </sheetView>
  </sheetViews>
  <sheetFormatPr baseColWidth="10" defaultColWidth="8.83203125" defaultRowHeight="15" x14ac:dyDescent="0.2"/>
  <cols>
    <col min="1" max="1" width="30" customWidth="1"/>
    <col min="2" max="5" width="12" customWidth="1"/>
    <col min="6" max="6" width="15" customWidth="1"/>
    <col min="7" max="7" width="12" customWidth="1"/>
    <col min="8" max="8" width="15" customWidth="1"/>
  </cols>
  <sheetData>
    <row r="1" spans="1:8" ht="25" customHeight="1" x14ac:dyDescent="0.2">
      <c r="A1" s="70" t="s">
        <v>0</v>
      </c>
      <c r="B1" s="71"/>
      <c r="C1" s="71"/>
      <c r="D1" s="71"/>
      <c r="E1" s="71"/>
      <c r="F1" s="71"/>
      <c r="G1" s="71"/>
      <c r="H1" s="71"/>
    </row>
    <row r="3" spans="1:8" x14ac:dyDescent="0.2">
      <c r="A3" s="1" t="s">
        <v>1</v>
      </c>
      <c r="B3" s="2" t="s">
        <v>2</v>
      </c>
    </row>
    <row r="4" spans="1:8" x14ac:dyDescent="0.2">
      <c r="A4" s="1" t="s">
        <v>3</v>
      </c>
      <c r="B4" t="s">
        <v>4</v>
      </c>
    </row>
    <row r="7" spans="1:8" ht="17" x14ac:dyDescent="0.2">
      <c r="A7" s="76" t="s">
        <v>5</v>
      </c>
      <c r="B7" s="71"/>
      <c r="C7" s="71"/>
      <c r="D7" s="71"/>
      <c r="E7" s="71"/>
      <c r="F7" s="71"/>
      <c r="G7" s="71"/>
      <c r="H7" s="71"/>
    </row>
    <row r="8" spans="1:8" x14ac:dyDescent="0.2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</row>
    <row r="9" spans="1:8" x14ac:dyDescent="0.2">
      <c r="A9" s="4" t="s">
        <v>11</v>
      </c>
      <c r="B9" s="5">
        <v>50</v>
      </c>
      <c r="C9" s="5">
        <v>0</v>
      </c>
      <c r="D9" s="6">
        <f>C9-B9</f>
        <v>-50</v>
      </c>
      <c r="E9" s="7">
        <f>C9/B9</f>
        <v>0</v>
      </c>
    </row>
    <row r="10" spans="1:8" x14ac:dyDescent="0.2">
      <c r="A10" s="4" t="s">
        <v>12</v>
      </c>
      <c r="B10" s="5">
        <v>30</v>
      </c>
      <c r="C10" s="5">
        <v>0</v>
      </c>
      <c r="D10" s="6">
        <f>C10-B10</f>
        <v>-30</v>
      </c>
      <c r="E10" s="7">
        <f>C10/B10</f>
        <v>0</v>
      </c>
    </row>
    <row r="11" spans="1:8" x14ac:dyDescent="0.2">
      <c r="A11" s="4" t="s">
        <v>13</v>
      </c>
      <c r="B11" s="5">
        <v>10</v>
      </c>
      <c r="C11" s="5">
        <v>0</v>
      </c>
      <c r="D11" s="6">
        <f>C11-B11</f>
        <v>-10</v>
      </c>
      <c r="E11" s="7">
        <f>C11/B11</f>
        <v>0</v>
      </c>
    </row>
    <row r="12" spans="1:8" x14ac:dyDescent="0.2">
      <c r="A12" s="4" t="s">
        <v>14</v>
      </c>
      <c r="B12" s="5">
        <v>15</v>
      </c>
      <c r="C12" s="5">
        <v>0</v>
      </c>
      <c r="D12" s="6">
        <f>C12-B12</f>
        <v>-15</v>
      </c>
      <c r="E12" s="7">
        <f>C12/B12</f>
        <v>0</v>
      </c>
    </row>
    <row r="13" spans="1:8" x14ac:dyDescent="0.2">
      <c r="A13" s="4" t="s">
        <v>15</v>
      </c>
      <c r="B13" s="5">
        <v>20</v>
      </c>
      <c r="C13" s="5">
        <v>0</v>
      </c>
      <c r="D13" s="6">
        <f>C13-B13</f>
        <v>-20</v>
      </c>
      <c r="E13" s="7">
        <f>C13/B13</f>
        <v>0</v>
      </c>
    </row>
    <row r="16" spans="1:8" ht="17" x14ac:dyDescent="0.2">
      <c r="A16" s="76" t="s">
        <v>16</v>
      </c>
      <c r="B16" s="71"/>
      <c r="C16" s="71"/>
      <c r="D16" s="71"/>
      <c r="E16" s="71"/>
      <c r="F16" s="71"/>
      <c r="G16" s="71"/>
      <c r="H16" s="71"/>
    </row>
    <row r="17" spans="1:8" ht="30" customHeight="1" x14ac:dyDescent="0.2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</row>
    <row r="18" spans="1:8" x14ac:dyDescent="0.2">
      <c r="A18" s="9" t="s">
        <v>25</v>
      </c>
      <c r="B18" s="5">
        <v>135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10" t="e">
        <f>F18/C18</f>
        <v>#DIV/0!</v>
      </c>
    </row>
    <row r="19" spans="1:8" x14ac:dyDescent="0.2">
      <c r="A19" s="9" t="s">
        <v>26</v>
      </c>
      <c r="B19" s="5">
        <v>104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10" t="e">
        <f>F19/C19</f>
        <v>#DIV/0!</v>
      </c>
    </row>
    <row r="20" spans="1:8" x14ac:dyDescent="0.2">
      <c r="A20" s="9" t="s">
        <v>27</v>
      </c>
      <c r="B20" s="5">
        <v>12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10" t="e">
        <f>F20/C20</f>
        <v>#DIV/0!</v>
      </c>
    </row>
    <row r="21" spans="1:8" x14ac:dyDescent="0.2">
      <c r="A21" s="11" t="s">
        <v>28</v>
      </c>
      <c r="B21" s="12">
        <f t="shared" ref="B21:G21" si="0">SUM(B18:B20)</f>
        <v>251</v>
      </c>
      <c r="C21" s="12">
        <f t="shared" si="0"/>
        <v>0</v>
      </c>
      <c r="D21" s="12">
        <f t="shared" si="0"/>
        <v>0</v>
      </c>
      <c r="E21" s="12">
        <f t="shared" si="0"/>
        <v>0</v>
      </c>
      <c r="F21" s="12">
        <f t="shared" si="0"/>
        <v>0</v>
      </c>
      <c r="G21" s="12">
        <f t="shared" si="0"/>
        <v>0</v>
      </c>
    </row>
    <row r="24" spans="1:8" ht="17" x14ac:dyDescent="0.2">
      <c r="A24" s="76" t="s">
        <v>29</v>
      </c>
      <c r="B24" s="71"/>
      <c r="C24" s="71"/>
      <c r="D24" s="71"/>
      <c r="E24" s="71"/>
      <c r="F24" s="71"/>
      <c r="G24" s="71"/>
      <c r="H24" s="71"/>
    </row>
    <row r="25" spans="1:8" x14ac:dyDescent="0.2">
      <c r="A25" s="77" t="s">
        <v>30</v>
      </c>
      <c r="B25" s="71"/>
      <c r="C25" s="74" t="s">
        <v>31</v>
      </c>
      <c r="D25" s="71"/>
      <c r="E25" s="71"/>
      <c r="F25" s="71"/>
      <c r="G25" s="71"/>
      <c r="H25" s="71"/>
    </row>
    <row r="27" spans="1:8" x14ac:dyDescent="0.2">
      <c r="A27" s="72" t="s">
        <v>32</v>
      </c>
      <c r="B27" s="71"/>
      <c r="C27" s="78" t="s">
        <v>33</v>
      </c>
      <c r="D27" s="71"/>
      <c r="E27" s="71"/>
      <c r="F27" s="71"/>
      <c r="G27" s="71"/>
      <c r="H27" s="71"/>
    </row>
    <row r="29" spans="1:8" x14ac:dyDescent="0.2">
      <c r="A29" s="75" t="s">
        <v>34</v>
      </c>
      <c r="B29" s="71"/>
      <c r="C29" s="73" t="s">
        <v>35</v>
      </c>
      <c r="D29" s="71"/>
      <c r="E29" s="71"/>
      <c r="F29" s="71"/>
      <c r="G29" s="71"/>
      <c r="H29" s="71"/>
    </row>
  </sheetData>
  <mergeCells count="10">
    <mergeCell ref="A1:H1"/>
    <mergeCell ref="A27:B27"/>
    <mergeCell ref="C29:H29"/>
    <mergeCell ref="C25:H25"/>
    <mergeCell ref="A29:B29"/>
    <mergeCell ref="A7:H7"/>
    <mergeCell ref="A25:B25"/>
    <mergeCell ref="C27:H27"/>
    <mergeCell ref="A24:H24"/>
    <mergeCell ref="A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tabSelected="1" topLeftCell="D155" zoomScale="171" workbookViewId="0">
      <selection activeCell="E163" sqref="E163"/>
    </sheetView>
  </sheetViews>
  <sheetFormatPr baseColWidth="10" defaultColWidth="8.83203125" defaultRowHeight="15" x14ac:dyDescent="0.2"/>
  <cols>
    <col min="1" max="1" width="12.6640625" bestFit="1" customWidth="1"/>
    <col min="2" max="2" width="10" customWidth="1"/>
    <col min="3" max="3" width="12" customWidth="1"/>
    <col min="4" max="4" width="24.33203125" bestFit="1" customWidth="1"/>
    <col min="5" max="5" width="27.1640625" style="24" bestFit="1" customWidth="1"/>
    <col min="6" max="6" width="12" customWidth="1"/>
    <col min="7" max="7" width="15" customWidth="1"/>
    <col min="8" max="8" width="28.1640625" bestFit="1" customWidth="1"/>
    <col min="9" max="9" width="12" customWidth="1"/>
    <col min="10" max="10" width="25" customWidth="1"/>
  </cols>
  <sheetData>
    <row r="1" spans="1:10" ht="25" customHeight="1" x14ac:dyDescent="0.2">
      <c r="A1" s="79" t="s">
        <v>36</v>
      </c>
      <c r="B1" s="71"/>
      <c r="C1" s="71"/>
      <c r="D1" s="71"/>
      <c r="E1" s="71"/>
      <c r="F1" s="71"/>
      <c r="G1" s="71"/>
      <c r="H1" s="71"/>
      <c r="I1" s="71"/>
      <c r="J1" s="71"/>
    </row>
    <row r="3" spans="1:10" x14ac:dyDescent="0.2">
      <c r="A3" s="80" t="s">
        <v>37</v>
      </c>
      <c r="B3" s="71"/>
      <c r="C3" s="71"/>
      <c r="D3" s="71"/>
      <c r="E3" s="71"/>
      <c r="F3" s="71"/>
      <c r="G3" s="71"/>
      <c r="H3" s="71"/>
      <c r="I3" s="71"/>
      <c r="J3" s="71"/>
    </row>
    <row r="5" spans="1:10" ht="30" customHeight="1" x14ac:dyDescent="0.2">
      <c r="A5" s="8" t="s">
        <v>38</v>
      </c>
      <c r="B5" s="8" t="s">
        <v>39</v>
      </c>
      <c r="C5" s="8" t="s">
        <v>17</v>
      </c>
      <c r="D5" s="8" t="s">
        <v>40</v>
      </c>
      <c r="E5" s="42" t="s">
        <v>41</v>
      </c>
      <c r="F5" s="8" t="s">
        <v>42</v>
      </c>
      <c r="G5" s="8" t="s">
        <v>43</v>
      </c>
      <c r="H5" s="8" t="s">
        <v>44</v>
      </c>
      <c r="I5" s="8" t="s">
        <v>45</v>
      </c>
      <c r="J5" s="8" t="s">
        <v>46</v>
      </c>
    </row>
    <row r="6" spans="1:10" ht="16" x14ac:dyDescent="0.2">
      <c r="A6" s="13" t="s">
        <v>47</v>
      </c>
      <c r="B6" s="13" t="s">
        <v>48</v>
      </c>
      <c r="C6" s="13" t="s">
        <v>49</v>
      </c>
      <c r="D6" s="13" t="s">
        <v>50</v>
      </c>
      <c r="E6" s="36" t="s">
        <v>51</v>
      </c>
      <c r="F6" s="13" t="s">
        <v>52</v>
      </c>
      <c r="G6" s="14" t="s">
        <v>53</v>
      </c>
      <c r="H6" s="13" t="s">
        <v>54</v>
      </c>
      <c r="I6" s="13" t="s">
        <v>55</v>
      </c>
      <c r="J6" s="13" t="s">
        <v>56</v>
      </c>
    </row>
    <row r="7" spans="1:10" ht="16" x14ac:dyDescent="0.2">
      <c r="A7" s="13" t="s">
        <v>47</v>
      </c>
      <c r="B7" s="13" t="s">
        <v>48</v>
      </c>
      <c r="C7" s="13" t="s">
        <v>57</v>
      </c>
      <c r="D7" s="13" t="s">
        <v>58</v>
      </c>
      <c r="E7" s="36" t="s">
        <v>59</v>
      </c>
      <c r="F7" s="13" t="s">
        <v>60</v>
      </c>
      <c r="G7" s="15" t="s">
        <v>61</v>
      </c>
      <c r="H7" s="13" t="s">
        <v>62</v>
      </c>
      <c r="I7" s="13" t="s">
        <v>63</v>
      </c>
      <c r="J7" s="13" t="s">
        <v>64</v>
      </c>
    </row>
    <row r="8" spans="1:10" ht="16" x14ac:dyDescent="0.2">
      <c r="A8" s="13" t="s">
        <v>65</v>
      </c>
      <c r="B8" s="13" t="s">
        <v>66</v>
      </c>
      <c r="C8" s="13" t="s">
        <v>49</v>
      </c>
      <c r="D8" s="13" t="s">
        <v>67</v>
      </c>
      <c r="E8" s="36" t="s">
        <v>68</v>
      </c>
      <c r="F8" s="13" t="s">
        <v>52</v>
      </c>
      <c r="G8" s="16" t="s">
        <v>69</v>
      </c>
      <c r="H8" s="13" t="s">
        <v>70</v>
      </c>
      <c r="I8" s="13" t="s">
        <v>71</v>
      </c>
      <c r="J8" s="13" t="s">
        <v>72</v>
      </c>
    </row>
    <row r="9" spans="1:10" x14ac:dyDescent="0.2">
      <c r="A9" s="19"/>
      <c r="B9" s="19"/>
      <c r="C9" s="19"/>
      <c r="D9" s="19"/>
      <c r="E9" s="43"/>
      <c r="F9" s="19"/>
      <c r="G9" s="19"/>
      <c r="H9" s="19"/>
      <c r="I9" s="19"/>
      <c r="J9" s="19"/>
    </row>
    <row r="10" spans="1:10" s="56" customFormat="1" x14ac:dyDescent="0.2">
      <c r="A10" s="23" t="s">
        <v>272</v>
      </c>
      <c r="B10" s="23"/>
      <c r="C10" s="23"/>
      <c r="D10" s="54"/>
      <c r="E10" s="55"/>
      <c r="F10" s="23"/>
      <c r="G10" s="23"/>
      <c r="H10" s="23"/>
      <c r="I10" s="23"/>
      <c r="J10" s="23"/>
    </row>
    <row r="11" spans="1:10" ht="16" x14ac:dyDescent="0.2">
      <c r="A11" s="20">
        <v>46034</v>
      </c>
      <c r="B11" s="6" t="s">
        <v>48</v>
      </c>
      <c r="C11" s="6" t="s">
        <v>49</v>
      </c>
      <c r="D11" s="21" t="s">
        <v>148</v>
      </c>
      <c r="E11" s="24">
        <v>3314563888</v>
      </c>
      <c r="F11" s="6" t="s">
        <v>52</v>
      </c>
      <c r="G11" s="29" t="s">
        <v>168</v>
      </c>
      <c r="H11" s="13" t="s">
        <v>54</v>
      </c>
      <c r="I11" s="6"/>
      <c r="J11" s="6"/>
    </row>
    <row r="12" spans="1:10" ht="16" x14ac:dyDescent="0.2">
      <c r="A12" s="20">
        <v>46034</v>
      </c>
      <c r="B12" s="6" t="s">
        <v>48</v>
      </c>
      <c r="C12" s="6" t="s">
        <v>49</v>
      </c>
      <c r="D12" s="6" t="s">
        <v>149</v>
      </c>
      <c r="E12" s="44" t="s">
        <v>158</v>
      </c>
      <c r="F12" s="6" t="s">
        <v>60</v>
      </c>
      <c r="G12" s="32" t="s">
        <v>61</v>
      </c>
      <c r="H12" s="13" t="s">
        <v>62</v>
      </c>
      <c r="I12" s="6"/>
      <c r="J12" s="6"/>
    </row>
    <row r="13" spans="1:10" ht="17" x14ac:dyDescent="0.2">
      <c r="A13" s="20">
        <v>46034</v>
      </c>
      <c r="B13" s="6" t="s">
        <v>48</v>
      </c>
      <c r="C13" s="6" t="s">
        <v>49</v>
      </c>
      <c r="D13" s="22" t="s">
        <v>150</v>
      </c>
      <c r="E13" s="45" t="s">
        <v>159</v>
      </c>
      <c r="F13" s="6" t="s">
        <v>52</v>
      </c>
      <c r="G13" s="33" t="s">
        <v>170</v>
      </c>
      <c r="H13" s="6"/>
      <c r="I13" s="6"/>
      <c r="J13" s="6"/>
    </row>
    <row r="14" spans="1:10" ht="16" x14ac:dyDescent="0.2">
      <c r="A14" s="20">
        <v>46034</v>
      </c>
      <c r="B14" s="6" t="s">
        <v>48</v>
      </c>
      <c r="C14" s="6" t="s">
        <v>49</v>
      </c>
      <c r="D14" s="6" t="s">
        <v>151</v>
      </c>
      <c r="E14" s="46" t="s">
        <v>160</v>
      </c>
      <c r="F14" s="6" t="s">
        <v>52</v>
      </c>
      <c r="G14" s="29" t="s">
        <v>168</v>
      </c>
      <c r="H14" s="13" t="s">
        <v>54</v>
      </c>
      <c r="I14" s="6"/>
      <c r="J14" s="6"/>
    </row>
    <row r="15" spans="1:10" ht="17" x14ac:dyDescent="0.2">
      <c r="A15" s="20">
        <v>46034</v>
      </c>
      <c r="B15" s="6" t="s">
        <v>48</v>
      </c>
      <c r="C15" s="6" t="s">
        <v>49</v>
      </c>
      <c r="D15" s="22" t="s">
        <v>152</v>
      </c>
      <c r="E15" s="45" t="s">
        <v>161</v>
      </c>
      <c r="F15" s="6" t="s">
        <v>52</v>
      </c>
      <c r="G15" s="30" t="s">
        <v>169</v>
      </c>
      <c r="H15" s="6" t="s">
        <v>70</v>
      </c>
      <c r="I15" s="20">
        <v>46037</v>
      </c>
      <c r="J15" s="6" t="s">
        <v>174</v>
      </c>
    </row>
    <row r="16" spans="1:10" ht="16" x14ac:dyDescent="0.2">
      <c r="A16" s="20">
        <v>46034</v>
      </c>
      <c r="B16" s="6" t="s">
        <v>48</v>
      </c>
      <c r="C16" s="6" t="s">
        <v>49</v>
      </c>
      <c r="D16" s="6" t="s">
        <v>153</v>
      </c>
      <c r="E16" s="47" t="s">
        <v>162</v>
      </c>
      <c r="F16" s="6" t="s">
        <v>167</v>
      </c>
      <c r="G16" s="32" t="s">
        <v>61</v>
      </c>
      <c r="H16" s="13" t="s">
        <v>62</v>
      </c>
      <c r="I16" s="6"/>
      <c r="J16" s="6"/>
    </row>
    <row r="17" spans="1:10" ht="16" x14ac:dyDescent="0.2">
      <c r="A17" s="20">
        <v>46034</v>
      </c>
      <c r="B17" s="6" t="s">
        <v>48</v>
      </c>
      <c r="C17" s="6" t="s">
        <v>49</v>
      </c>
      <c r="D17" s="6" t="s">
        <v>154</v>
      </c>
      <c r="E17" s="28" t="s">
        <v>163</v>
      </c>
      <c r="F17" s="6" t="s">
        <v>52</v>
      </c>
      <c r="G17" s="29" t="s">
        <v>168</v>
      </c>
      <c r="H17" s="13" t="s">
        <v>54</v>
      </c>
      <c r="I17" s="6"/>
      <c r="J17" s="6"/>
    </row>
    <row r="18" spans="1:10" x14ac:dyDescent="0.2">
      <c r="A18" s="20">
        <v>46034</v>
      </c>
      <c r="B18" s="6" t="s">
        <v>48</v>
      </c>
      <c r="C18" s="6" t="s">
        <v>49</v>
      </c>
      <c r="D18" s="6" t="s">
        <v>155</v>
      </c>
      <c r="E18" s="28" t="s">
        <v>164</v>
      </c>
      <c r="F18" s="6" t="s">
        <v>52</v>
      </c>
      <c r="G18" s="31" t="s">
        <v>171</v>
      </c>
      <c r="H18" s="6" t="s">
        <v>173</v>
      </c>
      <c r="I18" s="6"/>
      <c r="J18" s="6" t="s">
        <v>175</v>
      </c>
    </row>
    <row r="19" spans="1:10" ht="16" x14ac:dyDescent="0.2">
      <c r="A19" s="20">
        <v>46034</v>
      </c>
      <c r="B19" s="6" t="s">
        <v>48</v>
      </c>
      <c r="C19" s="6" t="s">
        <v>49</v>
      </c>
      <c r="D19" s="6" t="s">
        <v>156</v>
      </c>
      <c r="E19" s="47" t="s">
        <v>165</v>
      </c>
      <c r="F19" s="6" t="s">
        <v>60</v>
      </c>
      <c r="G19" s="32" t="s">
        <v>61</v>
      </c>
      <c r="H19" s="13" t="s">
        <v>62</v>
      </c>
      <c r="I19" s="6"/>
      <c r="J19" s="6"/>
    </row>
    <row r="20" spans="1:10" ht="16" x14ac:dyDescent="0.2">
      <c r="A20" s="20">
        <v>46034</v>
      </c>
      <c r="B20" s="6" t="s">
        <v>48</v>
      </c>
      <c r="C20" s="6" t="s">
        <v>49</v>
      </c>
      <c r="D20" s="23" t="s">
        <v>157</v>
      </c>
      <c r="E20" s="34" t="s">
        <v>166</v>
      </c>
      <c r="F20" s="6" t="s">
        <v>52</v>
      </c>
      <c r="G20" s="30" t="s">
        <v>169</v>
      </c>
      <c r="H20" s="6" t="s">
        <v>172</v>
      </c>
      <c r="I20" s="6"/>
      <c r="J20" s="6"/>
    </row>
    <row r="21" spans="1:10" ht="16" x14ac:dyDescent="0.2">
      <c r="A21" s="20">
        <v>46035</v>
      </c>
      <c r="B21" s="6" t="s">
        <v>182</v>
      </c>
      <c r="C21" s="6" t="s">
        <v>49</v>
      </c>
      <c r="D21" s="6" t="s">
        <v>183</v>
      </c>
      <c r="E21" s="48" t="s">
        <v>184</v>
      </c>
      <c r="F21" s="6" t="s">
        <v>60</v>
      </c>
      <c r="G21" s="32" t="s">
        <v>61</v>
      </c>
      <c r="H21" s="6" t="s">
        <v>62</v>
      </c>
      <c r="I21" s="6"/>
      <c r="J21" s="6"/>
    </row>
    <row r="22" spans="1:10" x14ac:dyDescent="0.2">
      <c r="A22" s="20">
        <v>46035</v>
      </c>
      <c r="B22" s="6" t="s">
        <v>182</v>
      </c>
      <c r="C22" s="6" t="s">
        <v>49</v>
      </c>
      <c r="D22" s="6" t="s">
        <v>185</v>
      </c>
      <c r="E22" s="38">
        <v>3396935977</v>
      </c>
      <c r="F22" s="6" t="s">
        <v>52</v>
      </c>
      <c r="G22" s="31" t="s">
        <v>171</v>
      </c>
      <c r="H22" s="6" t="s">
        <v>173</v>
      </c>
      <c r="I22" s="6"/>
      <c r="J22" s="6" t="s">
        <v>175</v>
      </c>
    </row>
    <row r="23" spans="1:10" x14ac:dyDescent="0.2">
      <c r="A23" s="20">
        <v>46035</v>
      </c>
      <c r="B23" s="6" t="s">
        <v>182</v>
      </c>
      <c r="C23" s="6" t="s">
        <v>49</v>
      </c>
      <c r="D23" s="6" t="s">
        <v>186</v>
      </c>
      <c r="E23" s="36">
        <v>3465024760</v>
      </c>
      <c r="F23" s="6" t="s">
        <v>52</v>
      </c>
      <c r="G23" s="29" t="s">
        <v>168</v>
      </c>
      <c r="H23" s="6" t="s">
        <v>54</v>
      </c>
      <c r="I23" s="6"/>
      <c r="J23" s="6"/>
    </row>
    <row r="24" spans="1:10" x14ac:dyDescent="0.2">
      <c r="A24" s="20">
        <v>46035</v>
      </c>
      <c r="B24" s="6" t="s">
        <v>182</v>
      </c>
      <c r="C24" s="6" t="s">
        <v>49</v>
      </c>
      <c r="D24" s="6" t="s">
        <v>187</v>
      </c>
      <c r="E24" s="37">
        <v>3398179615</v>
      </c>
      <c r="F24" s="6" t="s">
        <v>52</v>
      </c>
      <c r="G24" s="29" t="s">
        <v>168</v>
      </c>
      <c r="H24" s="6" t="s">
        <v>54</v>
      </c>
      <c r="I24" s="6"/>
      <c r="J24" s="6"/>
    </row>
    <row r="25" spans="1:10" x14ac:dyDescent="0.2">
      <c r="A25" s="20">
        <v>46035</v>
      </c>
      <c r="B25" s="6" t="s">
        <v>182</v>
      </c>
      <c r="C25" s="6" t="s">
        <v>49</v>
      </c>
      <c r="D25" s="6" t="s">
        <v>188</v>
      </c>
      <c r="E25" s="39" t="s">
        <v>189</v>
      </c>
      <c r="F25" s="6" t="s">
        <v>60</v>
      </c>
      <c r="G25" s="32" t="s">
        <v>61</v>
      </c>
      <c r="H25" s="6" t="s">
        <v>62</v>
      </c>
      <c r="I25" s="6"/>
      <c r="J25" s="6"/>
    </row>
    <row r="26" spans="1:10" x14ac:dyDescent="0.2">
      <c r="A26" s="20">
        <v>46035</v>
      </c>
      <c r="B26" s="6" t="s">
        <v>182</v>
      </c>
      <c r="C26" s="6" t="s">
        <v>49</v>
      </c>
      <c r="D26" s="6" t="s">
        <v>190</v>
      </c>
      <c r="E26" s="37">
        <v>3357880251</v>
      </c>
      <c r="F26" s="6" t="s">
        <v>52</v>
      </c>
      <c r="G26" s="35" t="s">
        <v>169</v>
      </c>
      <c r="H26" s="6" t="s">
        <v>194</v>
      </c>
      <c r="I26" s="6"/>
      <c r="J26" s="6"/>
    </row>
    <row r="27" spans="1:10" x14ac:dyDescent="0.2">
      <c r="A27" s="20">
        <v>46035</v>
      </c>
      <c r="B27" s="6" t="s">
        <v>182</v>
      </c>
      <c r="C27" s="6" t="s">
        <v>49</v>
      </c>
      <c r="D27" s="6" t="s">
        <v>192</v>
      </c>
      <c r="E27" s="37">
        <v>3394686011</v>
      </c>
      <c r="F27" s="6" t="s">
        <v>52</v>
      </c>
      <c r="G27" s="31" t="s">
        <v>171</v>
      </c>
      <c r="H27" s="6" t="s">
        <v>193</v>
      </c>
      <c r="I27" s="6"/>
      <c r="J27" s="6"/>
    </row>
    <row r="28" spans="1:10" x14ac:dyDescent="0.2">
      <c r="A28" s="20">
        <v>46035</v>
      </c>
      <c r="B28" s="6" t="s">
        <v>182</v>
      </c>
      <c r="C28" s="6" t="s">
        <v>49</v>
      </c>
      <c r="D28" s="6" t="s">
        <v>195</v>
      </c>
      <c r="E28" s="39" t="s">
        <v>196</v>
      </c>
      <c r="F28" s="6" t="s">
        <v>167</v>
      </c>
      <c r="G28" s="32" t="s">
        <v>61</v>
      </c>
      <c r="H28" s="6" t="s">
        <v>62</v>
      </c>
      <c r="I28" s="6"/>
      <c r="J28" s="6"/>
    </row>
    <row r="29" spans="1:10" x14ac:dyDescent="0.2">
      <c r="A29" s="20">
        <v>46035</v>
      </c>
      <c r="B29" s="6" t="s">
        <v>182</v>
      </c>
      <c r="C29" s="6" t="s">
        <v>49</v>
      </c>
      <c r="D29" s="6" t="s">
        <v>197</v>
      </c>
      <c r="E29" s="37">
        <v>3454431743</v>
      </c>
      <c r="F29" s="6" t="s">
        <v>52</v>
      </c>
      <c r="G29" s="35" t="s">
        <v>198</v>
      </c>
      <c r="H29" s="6" t="s">
        <v>70</v>
      </c>
      <c r="I29" s="20">
        <v>46037</v>
      </c>
      <c r="J29" s="6" t="s">
        <v>199</v>
      </c>
    </row>
    <row r="30" spans="1:10" x14ac:dyDescent="0.2">
      <c r="A30" s="20">
        <v>46036</v>
      </c>
      <c r="B30" s="6" t="s">
        <v>204</v>
      </c>
      <c r="C30" s="6" t="s">
        <v>49</v>
      </c>
      <c r="D30" s="6" t="s">
        <v>207</v>
      </c>
      <c r="E30" s="37">
        <v>3358303589</v>
      </c>
      <c r="F30" s="6" t="s">
        <v>52</v>
      </c>
      <c r="G30" s="35" t="s">
        <v>69</v>
      </c>
      <c r="H30" s="6" t="s">
        <v>70</v>
      </c>
      <c r="I30" s="20">
        <v>46045</v>
      </c>
      <c r="J30" s="6" t="s">
        <v>208</v>
      </c>
    </row>
    <row r="31" spans="1:10" ht="16" x14ac:dyDescent="0.2">
      <c r="A31" s="20">
        <v>46036</v>
      </c>
      <c r="B31" s="6" t="s">
        <v>204</v>
      </c>
      <c r="C31" s="6" t="s">
        <v>49</v>
      </c>
      <c r="D31" s="6" t="s">
        <v>205</v>
      </c>
      <c r="E31" s="49" t="s">
        <v>206</v>
      </c>
      <c r="F31" s="6" t="s">
        <v>60</v>
      </c>
      <c r="G31" s="32" t="s">
        <v>61</v>
      </c>
      <c r="H31" s="6" t="s">
        <v>62</v>
      </c>
      <c r="I31" s="6"/>
      <c r="J31" s="6"/>
    </row>
    <row r="32" spans="1:10" x14ac:dyDescent="0.2">
      <c r="A32" s="20">
        <v>46036</v>
      </c>
      <c r="B32" s="6" t="s">
        <v>204</v>
      </c>
      <c r="C32" s="6" t="s">
        <v>49</v>
      </c>
      <c r="D32" s="6" t="s">
        <v>212</v>
      </c>
      <c r="E32" s="37">
        <v>3401191079</v>
      </c>
      <c r="F32" s="6" t="s">
        <v>52</v>
      </c>
      <c r="G32" s="33" t="s">
        <v>170</v>
      </c>
      <c r="H32" s="6"/>
      <c r="I32" s="6"/>
      <c r="J32" s="6"/>
    </row>
    <row r="33" spans="1:10" x14ac:dyDescent="0.2">
      <c r="A33" s="20">
        <v>46036</v>
      </c>
      <c r="B33" s="6" t="s">
        <v>204</v>
      </c>
      <c r="C33" s="6" t="s">
        <v>49</v>
      </c>
      <c r="D33" s="6" t="s">
        <v>213</v>
      </c>
      <c r="E33" s="41">
        <v>3333333430</v>
      </c>
      <c r="F33" s="6" t="s">
        <v>52</v>
      </c>
      <c r="G33" s="31" t="s">
        <v>171</v>
      </c>
      <c r="H33" s="6" t="s">
        <v>214</v>
      </c>
      <c r="I33" s="6"/>
      <c r="J33" s="6"/>
    </row>
    <row r="34" spans="1:10" x14ac:dyDescent="0.2">
      <c r="A34" s="20">
        <v>46036</v>
      </c>
      <c r="B34" s="6" t="s">
        <v>204</v>
      </c>
      <c r="C34" s="6" t="s">
        <v>49</v>
      </c>
      <c r="D34" s="6" t="s">
        <v>215</v>
      </c>
      <c r="E34" s="41">
        <v>3400873094</v>
      </c>
      <c r="F34" s="6" t="s">
        <v>52</v>
      </c>
      <c r="G34" s="31" t="s">
        <v>171</v>
      </c>
      <c r="H34" s="6" t="s">
        <v>216</v>
      </c>
      <c r="I34" s="6"/>
      <c r="J34" s="6"/>
    </row>
    <row r="35" spans="1:10" x14ac:dyDescent="0.2">
      <c r="A35" s="20">
        <v>46036</v>
      </c>
      <c r="B35" s="6" t="s">
        <v>204</v>
      </c>
      <c r="C35" s="6" t="s">
        <v>49</v>
      </c>
      <c r="D35" s="6" t="s">
        <v>217</v>
      </c>
      <c r="E35" s="41">
        <v>3669785184</v>
      </c>
      <c r="F35" s="6" t="s">
        <v>52</v>
      </c>
      <c r="G35" s="29" t="s">
        <v>168</v>
      </c>
      <c r="H35" s="6" t="s">
        <v>54</v>
      </c>
      <c r="I35" s="6"/>
      <c r="J35" s="6"/>
    </row>
    <row r="36" spans="1:10" x14ac:dyDescent="0.2">
      <c r="A36" s="20">
        <v>46036</v>
      </c>
      <c r="B36" s="6" t="s">
        <v>204</v>
      </c>
      <c r="C36" s="6" t="s">
        <v>49</v>
      </c>
      <c r="D36" s="6" t="s">
        <v>218</v>
      </c>
      <c r="E36" s="41">
        <v>3317545440</v>
      </c>
      <c r="F36" s="6" t="s">
        <v>52</v>
      </c>
      <c r="G36" s="35" t="s">
        <v>169</v>
      </c>
      <c r="H36" s="6" t="s">
        <v>70</v>
      </c>
      <c r="I36" s="20">
        <v>46041</v>
      </c>
      <c r="J36" s="6" t="s">
        <v>219</v>
      </c>
    </row>
    <row r="37" spans="1:10" ht="16" x14ac:dyDescent="0.2">
      <c r="A37" s="20">
        <v>46036</v>
      </c>
      <c r="B37" s="6" t="s">
        <v>204</v>
      </c>
      <c r="C37" s="6" t="s">
        <v>49</v>
      </c>
      <c r="D37" s="6" t="s">
        <v>222</v>
      </c>
      <c r="E37" s="51" t="s">
        <v>221</v>
      </c>
      <c r="F37" s="37" t="s">
        <v>60</v>
      </c>
      <c r="G37" s="32" t="s">
        <v>61</v>
      </c>
      <c r="H37" s="6" t="s">
        <v>62</v>
      </c>
      <c r="I37" s="6"/>
      <c r="J37" s="6"/>
    </row>
    <row r="38" spans="1:10" x14ac:dyDescent="0.2">
      <c r="A38" s="20">
        <v>46036</v>
      </c>
      <c r="B38" s="6" t="s">
        <v>204</v>
      </c>
      <c r="C38" s="6" t="s">
        <v>49</v>
      </c>
      <c r="D38" s="6" t="s">
        <v>223</v>
      </c>
      <c r="E38" s="37">
        <v>3273118009</v>
      </c>
      <c r="F38" s="6" t="s">
        <v>52</v>
      </c>
      <c r="G38" s="29" t="s">
        <v>168</v>
      </c>
      <c r="H38" s="6" t="s">
        <v>54</v>
      </c>
      <c r="I38" s="6"/>
      <c r="J38" s="6"/>
    </row>
    <row r="39" spans="1:10" x14ac:dyDescent="0.2">
      <c r="A39" s="20">
        <v>46036</v>
      </c>
      <c r="B39" s="6" t="s">
        <v>204</v>
      </c>
      <c r="C39" s="6" t="s">
        <v>49</v>
      </c>
      <c r="D39" s="6" t="s">
        <v>224</v>
      </c>
      <c r="E39" s="41">
        <v>3403686122</v>
      </c>
      <c r="F39" s="6" t="s">
        <v>52</v>
      </c>
      <c r="G39" s="29" t="s">
        <v>168</v>
      </c>
      <c r="H39" s="6" t="s">
        <v>225</v>
      </c>
      <c r="I39" s="6"/>
      <c r="J39" s="6"/>
    </row>
    <row r="40" spans="1:10" ht="16" x14ac:dyDescent="0.2">
      <c r="A40" s="20">
        <v>46038</v>
      </c>
      <c r="B40" s="6" t="s">
        <v>226</v>
      </c>
      <c r="C40" s="6" t="s">
        <v>49</v>
      </c>
      <c r="D40" s="6" t="s">
        <v>227</v>
      </c>
      <c r="E40" s="50" t="s">
        <v>228</v>
      </c>
      <c r="F40" s="6" t="s">
        <v>60</v>
      </c>
      <c r="G40" s="32" t="s">
        <v>61</v>
      </c>
      <c r="H40" s="6" t="s">
        <v>62</v>
      </c>
      <c r="I40" s="6"/>
      <c r="J40" s="6"/>
    </row>
    <row r="41" spans="1:10" ht="16" x14ac:dyDescent="0.2">
      <c r="A41" s="20">
        <v>46038</v>
      </c>
      <c r="B41" s="6" t="s">
        <v>226</v>
      </c>
      <c r="C41" s="6" t="s">
        <v>49</v>
      </c>
      <c r="D41" s="6" t="s">
        <v>229</v>
      </c>
      <c r="E41" s="50" t="s">
        <v>230</v>
      </c>
      <c r="F41" s="6" t="s">
        <v>60</v>
      </c>
      <c r="G41" s="32" t="s">
        <v>61</v>
      </c>
      <c r="H41" s="6" t="s">
        <v>62</v>
      </c>
      <c r="I41" s="6"/>
      <c r="J41" s="6"/>
    </row>
    <row r="42" spans="1:10" x14ac:dyDescent="0.2">
      <c r="A42" s="20">
        <v>46038</v>
      </c>
      <c r="B42" s="6" t="s">
        <v>226</v>
      </c>
      <c r="C42" s="6" t="s">
        <v>49</v>
      </c>
      <c r="D42" s="6" t="s">
        <v>231</v>
      </c>
      <c r="E42" s="52" t="s">
        <v>232</v>
      </c>
      <c r="F42" s="6" t="s">
        <v>167</v>
      </c>
      <c r="G42" s="32" t="s">
        <v>61</v>
      </c>
      <c r="H42" s="6" t="s">
        <v>62</v>
      </c>
      <c r="I42" s="6"/>
      <c r="J42" s="6"/>
    </row>
    <row r="43" spans="1:10" x14ac:dyDescent="0.2">
      <c r="A43" s="20">
        <v>46038</v>
      </c>
      <c r="B43" s="6" t="s">
        <v>226</v>
      </c>
      <c r="C43" s="6" t="s">
        <v>49</v>
      </c>
      <c r="D43" s="6" t="s">
        <v>233</v>
      </c>
      <c r="E43" s="41">
        <v>3911858536</v>
      </c>
      <c r="F43" s="6" t="s">
        <v>52</v>
      </c>
      <c r="G43" s="29" t="s">
        <v>168</v>
      </c>
      <c r="H43" s="6" t="s">
        <v>54</v>
      </c>
      <c r="I43" s="6"/>
      <c r="J43" s="6"/>
    </row>
    <row r="44" spans="1:10" x14ac:dyDescent="0.2">
      <c r="A44" s="20">
        <v>46038</v>
      </c>
      <c r="B44" s="6" t="s">
        <v>226</v>
      </c>
      <c r="C44" s="6" t="s">
        <v>234</v>
      </c>
      <c r="D44" s="6" t="s">
        <v>235</v>
      </c>
      <c r="E44" s="41">
        <v>3496428227</v>
      </c>
      <c r="F44" s="6" t="s">
        <v>52</v>
      </c>
      <c r="G44" s="35" t="s">
        <v>69</v>
      </c>
      <c r="H44" s="6" t="s">
        <v>70</v>
      </c>
      <c r="I44" s="20">
        <v>46041</v>
      </c>
      <c r="J44" s="6" t="s">
        <v>237</v>
      </c>
    </row>
    <row r="45" spans="1:10" x14ac:dyDescent="0.2">
      <c r="A45" s="20">
        <v>46038</v>
      </c>
      <c r="B45" s="6" t="s">
        <v>226</v>
      </c>
      <c r="C45" s="6" t="s">
        <v>49</v>
      </c>
      <c r="D45" s="6" t="s">
        <v>242</v>
      </c>
      <c r="E45" s="25" t="s">
        <v>236</v>
      </c>
      <c r="F45" s="6" t="s">
        <v>60</v>
      </c>
      <c r="G45" s="32" t="s">
        <v>61</v>
      </c>
      <c r="H45" s="6" t="s">
        <v>62</v>
      </c>
      <c r="I45" s="6"/>
      <c r="J45" s="6"/>
    </row>
    <row r="46" spans="1:10" x14ac:dyDescent="0.2">
      <c r="A46" s="20">
        <v>46038</v>
      </c>
      <c r="B46" s="6" t="s">
        <v>226</v>
      </c>
      <c r="C46" s="6" t="s">
        <v>49</v>
      </c>
      <c r="D46" s="6" t="s">
        <v>243</v>
      </c>
      <c r="E46" s="41">
        <v>3483725032</v>
      </c>
      <c r="F46" s="6" t="s">
        <v>52</v>
      </c>
      <c r="G46" s="33" t="s">
        <v>271</v>
      </c>
      <c r="H46" s="6"/>
      <c r="I46" s="6"/>
      <c r="J46" s="6"/>
    </row>
    <row r="47" spans="1:10" x14ac:dyDescent="0.2">
      <c r="A47" s="20">
        <v>46038</v>
      </c>
      <c r="B47" s="6" t="s">
        <v>226</v>
      </c>
      <c r="C47" s="6" t="s">
        <v>49</v>
      </c>
      <c r="D47" s="6" t="s">
        <v>245</v>
      </c>
      <c r="E47" s="41">
        <v>3514455108</v>
      </c>
      <c r="F47" s="6" t="s">
        <v>52</v>
      </c>
      <c r="G47" s="29" t="s">
        <v>168</v>
      </c>
      <c r="H47" s="6" t="s">
        <v>54</v>
      </c>
      <c r="I47" s="6"/>
      <c r="J47" s="6"/>
    </row>
    <row r="48" spans="1:10" ht="16" x14ac:dyDescent="0.2">
      <c r="A48" s="20">
        <v>46038</v>
      </c>
      <c r="B48" s="6" t="s">
        <v>226</v>
      </c>
      <c r="C48" s="6" t="s">
        <v>234</v>
      </c>
      <c r="D48" s="6" t="s">
        <v>247</v>
      </c>
      <c r="E48" s="50" t="s">
        <v>246</v>
      </c>
      <c r="F48" s="6" t="s">
        <v>60</v>
      </c>
      <c r="G48" s="32" t="s">
        <v>61</v>
      </c>
      <c r="H48" s="6" t="s">
        <v>62</v>
      </c>
      <c r="I48" s="6"/>
      <c r="J48" s="6"/>
    </row>
    <row r="49" spans="1:10" x14ac:dyDescent="0.2">
      <c r="A49" s="20">
        <v>46038</v>
      </c>
      <c r="B49" s="6" t="s">
        <v>248</v>
      </c>
      <c r="C49" s="6" t="s">
        <v>49</v>
      </c>
      <c r="D49" s="6" t="s">
        <v>249</v>
      </c>
      <c r="E49" s="41">
        <v>3471226301</v>
      </c>
      <c r="F49" s="6" t="s">
        <v>52</v>
      </c>
      <c r="G49" s="29" t="s">
        <v>168</v>
      </c>
      <c r="H49" s="6" t="s">
        <v>250</v>
      </c>
      <c r="I49" s="6"/>
      <c r="J49" s="6"/>
    </row>
    <row r="50" spans="1:10" x14ac:dyDescent="0.2">
      <c r="A50" s="20">
        <v>46038</v>
      </c>
      <c r="B50" s="6" t="s">
        <v>226</v>
      </c>
      <c r="C50" s="6" t="s">
        <v>49</v>
      </c>
      <c r="D50" s="6" t="s">
        <v>251</v>
      </c>
      <c r="E50" s="41">
        <v>3487282428</v>
      </c>
      <c r="F50" s="6" t="s">
        <v>52</v>
      </c>
      <c r="G50" s="31" t="s">
        <v>171</v>
      </c>
      <c r="H50" s="6" t="s">
        <v>270</v>
      </c>
      <c r="I50" s="6"/>
      <c r="J50" s="6"/>
    </row>
    <row r="51" spans="1:10" ht="16" x14ac:dyDescent="0.2">
      <c r="A51" s="20">
        <v>46038</v>
      </c>
      <c r="B51" s="6" t="s">
        <v>248</v>
      </c>
      <c r="C51" s="6" t="s">
        <v>49</v>
      </c>
      <c r="D51" s="6" t="s">
        <v>252</v>
      </c>
      <c r="E51" s="50" t="s">
        <v>253</v>
      </c>
      <c r="F51" s="6" t="s">
        <v>60</v>
      </c>
      <c r="G51" s="32" t="s">
        <v>61</v>
      </c>
      <c r="H51" s="6" t="s">
        <v>62</v>
      </c>
      <c r="I51" s="6"/>
      <c r="J51" s="6"/>
    </row>
    <row r="52" spans="1:10" x14ac:dyDescent="0.2">
      <c r="A52" s="20">
        <v>46038</v>
      </c>
      <c r="B52" s="6" t="s">
        <v>226</v>
      </c>
      <c r="C52" s="6" t="s">
        <v>49</v>
      </c>
      <c r="D52" s="6" t="s">
        <v>254</v>
      </c>
      <c r="E52" s="41">
        <v>3201965501</v>
      </c>
      <c r="F52" s="6" t="s">
        <v>52</v>
      </c>
      <c r="G52" s="29" t="s">
        <v>168</v>
      </c>
      <c r="H52" s="6" t="s">
        <v>225</v>
      </c>
      <c r="I52" s="6"/>
      <c r="J52" s="6"/>
    </row>
    <row r="53" spans="1:10" x14ac:dyDescent="0.2">
      <c r="A53" s="20">
        <v>46038</v>
      </c>
      <c r="B53" s="6" t="s">
        <v>226</v>
      </c>
      <c r="C53" s="6" t="s">
        <v>49</v>
      </c>
      <c r="D53" s="6" t="s">
        <v>255</v>
      </c>
      <c r="E53" s="41">
        <v>3460789840</v>
      </c>
      <c r="F53" s="6" t="s">
        <v>52</v>
      </c>
      <c r="G53" s="31" t="s">
        <v>171</v>
      </c>
      <c r="H53" s="6" t="s">
        <v>244</v>
      </c>
      <c r="I53" s="6"/>
      <c r="J53" s="6"/>
    </row>
    <row r="54" spans="1:10" ht="16" x14ac:dyDescent="0.2">
      <c r="A54" s="20">
        <v>46038</v>
      </c>
      <c r="B54" s="6" t="s">
        <v>226</v>
      </c>
      <c r="C54" s="6" t="s">
        <v>234</v>
      </c>
      <c r="D54" s="6" t="s">
        <v>257</v>
      </c>
      <c r="E54" s="50" t="s">
        <v>256</v>
      </c>
      <c r="F54" s="6" t="s">
        <v>60</v>
      </c>
      <c r="G54" s="32" t="s">
        <v>61</v>
      </c>
      <c r="H54" s="6" t="s">
        <v>62</v>
      </c>
      <c r="I54" s="6"/>
      <c r="J54" s="6"/>
    </row>
    <row r="55" spans="1:10" ht="16" x14ac:dyDescent="0.2">
      <c r="A55" s="20">
        <v>46038</v>
      </c>
      <c r="B55" s="6" t="s">
        <v>226</v>
      </c>
      <c r="C55" s="6" t="s">
        <v>234</v>
      </c>
      <c r="D55" s="6" t="s">
        <v>259</v>
      </c>
      <c r="E55" s="50" t="s">
        <v>258</v>
      </c>
      <c r="F55" s="6" t="s">
        <v>60</v>
      </c>
      <c r="G55" s="32" t="s">
        <v>61</v>
      </c>
      <c r="H55" s="6" t="s">
        <v>62</v>
      </c>
      <c r="I55" s="6"/>
      <c r="J55" s="6"/>
    </row>
    <row r="56" spans="1:10" x14ac:dyDescent="0.2">
      <c r="A56" s="20">
        <v>46038</v>
      </c>
      <c r="B56" s="6" t="s">
        <v>226</v>
      </c>
      <c r="C56" s="6" t="s">
        <v>49</v>
      </c>
      <c r="D56" s="6" t="s">
        <v>260</v>
      </c>
      <c r="E56" s="41">
        <v>3336297471</v>
      </c>
      <c r="F56" s="6" t="s">
        <v>52</v>
      </c>
      <c r="G56" s="33" t="s">
        <v>261</v>
      </c>
      <c r="H56" s="6"/>
      <c r="I56" s="6"/>
      <c r="J56" s="6"/>
    </row>
    <row r="57" spans="1:10" x14ac:dyDescent="0.2">
      <c r="A57" s="20">
        <v>46038</v>
      </c>
      <c r="B57" s="6" t="s">
        <v>226</v>
      </c>
      <c r="C57" s="6" t="s">
        <v>49</v>
      </c>
      <c r="D57" s="6" t="s">
        <v>262</v>
      </c>
      <c r="E57" s="41">
        <v>3382295587</v>
      </c>
      <c r="F57" s="6" t="s">
        <v>52</v>
      </c>
      <c r="G57" s="31" t="s">
        <v>171</v>
      </c>
      <c r="H57" s="6" t="s">
        <v>265</v>
      </c>
      <c r="I57" s="6"/>
      <c r="J57" s="6"/>
    </row>
    <row r="58" spans="1:10" ht="16" x14ac:dyDescent="0.2">
      <c r="A58" s="20">
        <v>46038</v>
      </c>
      <c r="B58" s="6" t="s">
        <v>226</v>
      </c>
      <c r="C58" s="6" t="s">
        <v>49</v>
      </c>
      <c r="D58" s="6" t="s">
        <v>264</v>
      </c>
      <c r="E58" s="50" t="s">
        <v>263</v>
      </c>
      <c r="F58" s="6" t="s">
        <v>60</v>
      </c>
      <c r="G58" s="32" t="s">
        <v>61</v>
      </c>
      <c r="H58" s="6" t="s">
        <v>62</v>
      </c>
      <c r="I58" s="6"/>
      <c r="J58" s="6"/>
    </row>
    <row r="59" spans="1:10" x14ac:dyDescent="0.2">
      <c r="A59" s="20">
        <v>46038</v>
      </c>
      <c r="B59" s="6" t="s">
        <v>226</v>
      </c>
      <c r="C59" s="6" t="s">
        <v>49</v>
      </c>
      <c r="D59" s="6" t="s">
        <v>267</v>
      </c>
      <c r="E59" s="41">
        <v>348999318</v>
      </c>
      <c r="F59" s="6" t="s">
        <v>52</v>
      </c>
      <c r="G59" s="31" t="s">
        <v>171</v>
      </c>
      <c r="H59" s="6" t="s">
        <v>265</v>
      </c>
      <c r="I59" s="6"/>
      <c r="J59" s="6"/>
    </row>
    <row r="60" spans="1:10" ht="16" x14ac:dyDescent="0.2">
      <c r="A60" s="20">
        <v>46038</v>
      </c>
      <c r="B60" s="6" t="s">
        <v>226</v>
      </c>
      <c r="C60" s="6" t="s">
        <v>49</v>
      </c>
      <c r="D60" s="6" t="s">
        <v>268</v>
      </c>
      <c r="E60" s="50" t="s">
        <v>269</v>
      </c>
      <c r="F60" s="6" t="s">
        <v>60</v>
      </c>
      <c r="G60" s="32" t="s">
        <v>61</v>
      </c>
      <c r="H60" s="6" t="s">
        <v>62</v>
      </c>
      <c r="I60" s="6"/>
      <c r="J60" s="6"/>
    </row>
    <row r="61" spans="1:10" x14ac:dyDescent="0.2">
      <c r="A61" t="s">
        <v>273</v>
      </c>
    </row>
    <row r="62" spans="1:10" x14ac:dyDescent="0.2">
      <c r="A62" s="57">
        <v>46041</v>
      </c>
      <c r="B62" t="s">
        <v>48</v>
      </c>
      <c r="C62" t="s">
        <v>49</v>
      </c>
      <c r="D62" t="s">
        <v>274</v>
      </c>
      <c r="E62" s="25" t="s">
        <v>277</v>
      </c>
      <c r="F62" t="s">
        <v>60</v>
      </c>
      <c r="G62" s="58" t="s">
        <v>61</v>
      </c>
      <c r="H62" t="s">
        <v>62</v>
      </c>
    </row>
    <row r="63" spans="1:10" x14ac:dyDescent="0.2">
      <c r="A63" s="57">
        <v>46041</v>
      </c>
      <c r="B63" t="s">
        <v>48</v>
      </c>
      <c r="C63" t="s">
        <v>49</v>
      </c>
      <c r="D63" t="s">
        <v>275</v>
      </c>
      <c r="E63" s="25" t="s">
        <v>276</v>
      </c>
      <c r="F63" t="s">
        <v>60</v>
      </c>
      <c r="G63" s="58" t="s">
        <v>61</v>
      </c>
      <c r="H63" t="s">
        <v>62</v>
      </c>
    </row>
    <row r="64" spans="1:10" x14ac:dyDescent="0.2">
      <c r="A64" s="57">
        <v>46041</v>
      </c>
      <c r="B64" t="s">
        <v>48</v>
      </c>
      <c r="C64" t="s">
        <v>49</v>
      </c>
      <c r="D64" t="s">
        <v>278</v>
      </c>
      <c r="E64" s="24">
        <v>3394863927</v>
      </c>
      <c r="F64" t="s">
        <v>52</v>
      </c>
      <c r="G64" s="59" t="s">
        <v>168</v>
      </c>
      <c r="H64" t="s">
        <v>279</v>
      </c>
    </row>
    <row r="65" spans="1:8" x14ac:dyDescent="0.2">
      <c r="A65" s="57">
        <v>46041</v>
      </c>
      <c r="B65" t="s">
        <v>48</v>
      </c>
      <c r="C65" t="s">
        <v>49</v>
      </c>
      <c r="D65" s="23" t="s">
        <v>266</v>
      </c>
      <c r="E65" s="53" t="s">
        <v>280</v>
      </c>
      <c r="F65" t="s">
        <v>52</v>
      </c>
      <c r="G65" s="60" t="s">
        <v>69</v>
      </c>
      <c r="H65" t="s">
        <v>194</v>
      </c>
    </row>
    <row r="66" spans="1:8" x14ac:dyDescent="0.2">
      <c r="A66" s="57">
        <v>46041</v>
      </c>
      <c r="B66" t="s">
        <v>48</v>
      </c>
      <c r="C66" t="s">
        <v>49</v>
      </c>
      <c r="D66" s="23" t="s">
        <v>281</v>
      </c>
      <c r="E66" s="53">
        <v>3394745902</v>
      </c>
      <c r="F66" t="s">
        <v>52</v>
      </c>
      <c r="G66" s="59" t="s">
        <v>168</v>
      </c>
      <c r="H66" t="s">
        <v>286</v>
      </c>
    </row>
    <row r="67" spans="1:8" ht="16" x14ac:dyDescent="0.2">
      <c r="A67" s="57">
        <v>46041</v>
      </c>
      <c r="B67" t="s">
        <v>48</v>
      </c>
      <c r="C67" t="s">
        <v>234</v>
      </c>
      <c r="D67" t="s">
        <v>283</v>
      </c>
      <c r="E67" s="50" t="s">
        <v>282</v>
      </c>
      <c r="F67" t="s">
        <v>60</v>
      </c>
      <c r="G67" s="58" t="s">
        <v>61</v>
      </c>
      <c r="H67" t="s">
        <v>62</v>
      </c>
    </row>
    <row r="68" spans="1:8" x14ac:dyDescent="0.2">
      <c r="A68" s="57">
        <v>46041</v>
      </c>
      <c r="B68" t="s">
        <v>48</v>
      </c>
      <c r="C68" t="s">
        <v>49</v>
      </c>
      <c r="D68" s="23" t="s">
        <v>285</v>
      </c>
      <c r="E68" s="53" t="s">
        <v>284</v>
      </c>
      <c r="F68" t="s">
        <v>52</v>
      </c>
      <c r="G68" s="59" t="s">
        <v>168</v>
      </c>
      <c r="H68" t="s">
        <v>54</v>
      </c>
    </row>
    <row r="69" spans="1:8" x14ac:dyDescent="0.2">
      <c r="A69" s="57">
        <v>46041</v>
      </c>
      <c r="B69" t="s">
        <v>48</v>
      </c>
      <c r="C69" t="s">
        <v>234</v>
      </c>
      <c r="D69" s="23" t="s">
        <v>287</v>
      </c>
      <c r="E69" s="53" t="s">
        <v>288</v>
      </c>
      <c r="F69" t="s">
        <v>52</v>
      </c>
      <c r="G69" s="59" t="s">
        <v>168</v>
      </c>
      <c r="H69" t="s">
        <v>286</v>
      </c>
    </row>
    <row r="70" spans="1:8" x14ac:dyDescent="0.2">
      <c r="A70" s="57">
        <v>46041</v>
      </c>
      <c r="B70" t="s">
        <v>48</v>
      </c>
      <c r="C70" t="s">
        <v>49</v>
      </c>
      <c r="D70" s="23" t="s">
        <v>290</v>
      </c>
      <c r="E70" s="53" t="s">
        <v>289</v>
      </c>
      <c r="F70" t="s">
        <v>52</v>
      </c>
      <c r="G70" s="59" t="s">
        <v>168</v>
      </c>
      <c r="H70" t="s">
        <v>286</v>
      </c>
    </row>
    <row r="71" spans="1:8" ht="16" x14ac:dyDescent="0.2">
      <c r="A71" s="57">
        <v>46041</v>
      </c>
      <c r="B71" t="s">
        <v>48</v>
      </c>
      <c r="C71" t="s">
        <v>49</v>
      </c>
      <c r="D71" s="23" t="s">
        <v>292</v>
      </c>
      <c r="E71" s="50" t="s">
        <v>291</v>
      </c>
      <c r="F71" t="s">
        <v>60</v>
      </c>
      <c r="G71" s="58" t="s">
        <v>61</v>
      </c>
      <c r="H71" t="s">
        <v>62</v>
      </c>
    </row>
    <row r="72" spans="1:8" ht="16" x14ac:dyDescent="0.2">
      <c r="A72" s="57">
        <v>46042</v>
      </c>
      <c r="B72" t="s">
        <v>182</v>
      </c>
      <c r="C72" t="s">
        <v>49</v>
      </c>
      <c r="D72" s="61" t="s">
        <v>293</v>
      </c>
      <c r="E72" s="50" t="s">
        <v>294</v>
      </c>
      <c r="F72" t="s">
        <v>167</v>
      </c>
      <c r="G72" s="58" t="s">
        <v>61</v>
      </c>
      <c r="H72" t="s">
        <v>62</v>
      </c>
    </row>
    <row r="73" spans="1:8" x14ac:dyDescent="0.2">
      <c r="A73" s="57">
        <v>46042</v>
      </c>
      <c r="B73" t="s">
        <v>182</v>
      </c>
      <c r="C73" t="s">
        <v>49</v>
      </c>
      <c r="D73" s="61" t="s">
        <v>296</v>
      </c>
      <c r="E73" s="53" t="s">
        <v>295</v>
      </c>
      <c r="F73" t="s">
        <v>52</v>
      </c>
      <c r="G73" s="59" t="s">
        <v>168</v>
      </c>
      <c r="H73" t="s">
        <v>54</v>
      </c>
    </row>
    <row r="74" spans="1:8" ht="16" x14ac:dyDescent="0.2">
      <c r="A74" s="57">
        <v>46042</v>
      </c>
      <c r="B74" t="s">
        <v>182</v>
      </c>
      <c r="C74" t="s">
        <v>49</v>
      </c>
      <c r="D74" s="61" t="s">
        <v>297</v>
      </c>
      <c r="E74" s="50" t="s">
        <v>298</v>
      </c>
      <c r="F74" t="s">
        <v>60</v>
      </c>
      <c r="G74" s="58" t="s">
        <v>61</v>
      </c>
      <c r="H74" t="s">
        <v>62</v>
      </c>
    </row>
    <row r="75" spans="1:8" ht="16" x14ac:dyDescent="0.2">
      <c r="A75" s="57">
        <v>46042</v>
      </c>
      <c r="B75" t="s">
        <v>182</v>
      </c>
      <c r="C75" t="s">
        <v>234</v>
      </c>
      <c r="D75" s="61" t="s">
        <v>300</v>
      </c>
      <c r="E75" s="50" t="s">
        <v>299</v>
      </c>
      <c r="F75" t="s">
        <v>60</v>
      </c>
      <c r="G75" s="58" t="s">
        <v>61</v>
      </c>
      <c r="H75" t="s">
        <v>62</v>
      </c>
    </row>
    <row r="76" spans="1:8" x14ac:dyDescent="0.2">
      <c r="A76" s="57">
        <v>46042</v>
      </c>
      <c r="B76" t="s">
        <v>182</v>
      </c>
      <c r="C76" t="s">
        <v>234</v>
      </c>
      <c r="D76" s="61" t="s">
        <v>301</v>
      </c>
      <c r="E76" s="53">
        <v>3394296488</v>
      </c>
      <c r="F76" t="s">
        <v>52</v>
      </c>
      <c r="G76" s="59" t="s">
        <v>168</v>
      </c>
      <c r="H76" t="s">
        <v>286</v>
      </c>
    </row>
    <row r="77" spans="1:8" ht="16" x14ac:dyDescent="0.2">
      <c r="A77" s="57">
        <v>46042</v>
      </c>
      <c r="B77" t="s">
        <v>182</v>
      </c>
      <c r="C77" t="s">
        <v>49</v>
      </c>
      <c r="D77" s="61" t="s">
        <v>302</v>
      </c>
      <c r="E77" s="50" t="s">
        <v>303</v>
      </c>
      <c r="F77" t="s">
        <v>60</v>
      </c>
      <c r="G77" s="58" t="s">
        <v>61</v>
      </c>
      <c r="H77" t="s">
        <v>62</v>
      </c>
    </row>
    <row r="78" spans="1:8" ht="16" x14ac:dyDescent="0.2">
      <c r="A78" s="57">
        <v>46042</v>
      </c>
      <c r="B78" t="s">
        <v>182</v>
      </c>
      <c r="C78" t="s">
        <v>49</v>
      </c>
      <c r="D78" s="61" t="s">
        <v>305</v>
      </c>
      <c r="E78" s="50" t="s">
        <v>304</v>
      </c>
      <c r="F78" t="s">
        <v>60</v>
      </c>
      <c r="G78" s="58" t="s">
        <v>61</v>
      </c>
      <c r="H78" t="s">
        <v>62</v>
      </c>
    </row>
    <row r="79" spans="1:8" x14ac:dyDescent="0.2">
      <c r="A79" s="57">
        <v>46042</v>
      </c>
      <c r="B79" t="s">
        <v>182</v>
      </c>
      <c r="C79" t="s">
        <v>49</v>
      </c>
      <c r="D79" s="61" t="s">
        <v>306</v>
      </c>
      <c r="E79" s="53">
        <v>335258091</v>
      </c>
      <c r="F79" t="s">
        <v>52</v>
      </c>
      <c r="G79" s="59" t="s">
        <v>168</v>
      </c>
      <c r="H79" t="s">
        <v>286</v>
      </c>
    </row>
    <row r="80" spans="1:8" x14ac:dyDescent="0.2">
      <c r="A80" s="57">
        <v>46042</v>
      </c>
      <c r="B80" t="s">
        <v>182</v>
      </c>
      <c r="C80" t="s">
        <v>49</v>
      </c>
      <c r="D80" s="61" t="s">
        <v>307</v>
      </c>
      <c r="E80" s="53">
        <v>3348810542</v>
      </c>
      <c r="F80" t="s">
        <v>52</v>
      </c>
      <c r="G80" s="59" t="s">
        <v>168</v>
      </c>
      <c r="H80" t="s">
        <v>286</v>
      </c>
    </row>
    <row r="81" spans="1:10" x14ac:dyDescent="0.2">
      <c r="A81" s="57">
        <v>46042</v>
      </c>
      <c r="B81" t="s">
        <v>182</v>
      </c>
      <c r="C81" t="s">
        <v>234</v>
      </c>
      <c r="D81" s="61" t="s">
        <v>310</v>
      </c>
      <c r="E81" s="53" t="s">
        <v>308</v>
      </c>
      <c r="F81" t="s">
        <v>52</v>
      </c>
      <c r="G81" s="62" t="s">
        <v>271</v>
      </c>
    </row>
    <row r="82" spans="1:10" x14ac:dyDescent="0.2">
      <c r="A82" s="57">
        <v>46042</v>
      </c>
      <c r="B82" t="s">
        <v>182</v>
      </c>
      <c r="C82" t="s">
        <v>234</v>
      </c>
      <c r="D82" s="61" t="s">
        <v>311</v>
      </c>
      <c r="E82" s="53" t="s">
        <v>309</v>
      </c>
      <c r="F82" t="s">
        <v>52</v>
      </c>
      <c r="G82" s="63" t="s">
        <v>171</v>
      </c>
      <c r="H82" t="s">
        <v>312</v>
      </c>
    </row>
    <row r="83" spans="1:10" x14ac:dyDescent="0.2">
      <c r="A83" s="57">
        <v>46043</v>
      </c>
      <c r="B83" t="s">
        <v>204</v>
      </c>
      <c r="C83" t="s">
        <v>168</v>
      </c>
      <c r="D83" s="61" t="s">
        <v>314</v>
      </c>
      <c r="E83" s="53" t="s">
        <v>313</v>
      </c>
      <c r="F83" t="s">
        <v>52</v>
      </c>
      <c r="G83" s="62" t="s">
        <v>170</v>
      </c>
    </row>
    <row r="84" spans="1:10" x14ac:dyDescent="0.2">
      <c r="A84" s="57">
        <v>46043</v>
      </c>
      <c r="B84" t="s">
        <v>204</v>
      </c>
      <c r="C84" t="s">
        <v>49</v>
      </c>
      <c r="D84" s="23" t="s">
        <v>316</v>
      </c>
      <c r="E84" s="53" t="s">
        <v>315</v>
      </c>
      <c r="F84" t="s">
        <v>52</v>
      </c>
      <c r="G84" s="63" t="s">
        <v>171</v>
      </c>
      <c r="H84" t="s">
        <v>312</v>
      </c>
    </row>
    <row r="85" spans="1:10" x14ac:dyDescent="0.2">
      <c r="A85" s="57">
        <v>46043</v>
      </c>
      <c r="B85" t="s">
        <v>204</v>
      </c>
      <c r="C85" t="s">
        <v>49</v>
      </c>
      <c r="D85" s="23" t="s">
        <v>317</v>
      </c>
      <c r="E85" s="53" t="s">
        <v>324</v>
      </c>
      <c r="F85" t="s">
        <v>52</v>
      </c>
      <c r="G85" s="62" t="s">
        <v>170</v>
      </c>
    </row>
    <row r="86" spans="1:10" ht="16" x14ac:dyDescent="0.2">
      <c r="A86" s="57">
        <v>46043</v>
      </c>
      <c r="B86" t="s">
        <v>204</v>
      </c>
      <c r="C86" t="s">
        <v>49</v>
      </c>
      <c r="D86" s="23" t="s">
        <v>329</v>
      </c>
      <c r="E86" s="50" t="s">
        <v>325</v>
      </c>
      <c r="F86" t="s">
        <v>60</v>
      </c>
      <c r="G86" s="58" t="s">
        <v>61</v>
      </c>
      <c r="H86" t="s">
        <v>62</v>
      </c>
    </row>
    <row r="87" spans="1:10" ht="16" x14ac:dyDescent="0.2">
      <c r="A87" s="57">
        <v>46043</v>
      </c>
      <c r="B87" t="s">
        <v>204</v>
      </c>
      <c r="C87" t="s">
        <v>49</v>
      </c>
      <c r="D87" s="61" t="s">
        <v>318</v>
      </c>
      <c r="E87" s="64">
        <v>3389414462</v>
      </c>
      <c r="F87" t="s">
        <v>52</v>
      </c>
      <c r="G87" s="62" t="s">
        <v>170</v>
      </c>
    </row>
    <row r="88" spans="1:10" ht="16" x14ac:dyDescent="0.2">
      <c r="A88" s="57">
        <v>46043</v>
      </c>
      <c r="B88" t="s">
        <v>204</v>
      </c>
      <c r="C88" t="s">
        <v>49</v>
      </c>
      <c r="D88" s="61" t="s">
        <v>319</v>
      </c>
      <c r="E88" s="50" t="s">
        <v>326</v>
      </c>
      <c r="F88" t="s">
        <v>60</v>
      </c>
      <c r="G88" s="58" t="s">
        <v>61</v>
      </c>
      <c r="H88" t="s">
        <v>62</v>
      </c>
    </row>
    <row r="89" spans="1:10" x14ac:dyDescent="0.2">
      <c r="A89" s="57">
        <v>46043</v>
      </c>
      <c r="B89" t="s">
        <v>204</v>
      </c>
      <c r="C89" t="s">
        <v>49</v>
      </c>
      <c r="D89" s="61" t="s">
        <v>320</v>
      </c>
      <c r="E89" s="53">
        <v>3930620563</v>
      </c>
      <c r="F89" t="s">
        <v>52</v>
      </c>
      <c r="G89" s="63" t="s">
        <v>171</v>
      </c>
      <c r="H89" t="s">
        <v>312</v>
      </c>
    </row>
    <row r="90" spans="1:10" ht="16" x14ac:dyDescent="0.2">
      <c r="A90" s="57">
        <v>46043</v>
      </c>
      <c r="B90" t="s">
        <v>204</v>
      </c>
      <c r="C90" t="s">
        <v>49</v>
      </c>
      <c r="D90" s="61" t="s">
        <v>321</v>
      </c>
      <c r="E90" s="50" t="s">
        <v>327</v>
      </c>
      <c r="F90" t="s">
        <v>60</v>
      </c>
      <c r="G90" s="58" t="s">
        <v>61</v>
      </c>
      <c r="H90" t="s">
        <v>62</v>
      </c>
    </row>
    <row r="91" spans="1:10" ht="16" x14ac:dyDescent="0.2">
      <c r="A91" s="57">
        <v>46043</v>
      </c>
      <c r="B91" t="s">
        <v>204</v>
      </c>
      <c r="C91" t="s">
        <v>49</v>
      </c>
      <c r="D91" s="61" t="s">
        <v>322</v>
      </c>
      <c r="E91" s="50" t="s">
        <v>328</v>
      </c>
      <c r="F91" t="s">
        <v>60</v>
      </c>
      <c r="G91" s="58" t="s">
        <v>61</v>
      </c>
      <c r="H91" t="s">
        <v>62</v>
      </c>
    </row>
    <row r="92" spans="1:10" ht="16" x14ac:dyDescent="0.2">
      <c r="A92" s="57">
        <v>46043</v>
      </c>
      <c r="B92" t="s">
        <v>204</v>
      </c>
      <c r="C92" t="s">
        <v>49</v>
      </c>
      <c r="D92" s="61" t="s">
        <v>323</v>
      </c>
      <c r="E92" s="65">
        <v>3405635515</v>
      </c>
      <c r="F92" t="s">
        <v>52</v>
      </c>
      <c r="G92" s="59" t="s">
        <v>168</v>
      </c>
      <c r="H92" t="s">
        <v>286</v>
      </c>
    </row>
    <row r="93" spans="1:10" x14ac:dyDescent="0.2">
      <c r="A93" s="57">
        <v>46044</v>
      </c>
      <c r="B93" t="s">
        <v>332</v>
      </c>
      <c r="C93" t="s">
        <v>234</v>
      </c>
      <c r="D93" s="61" t="s">
        <v>331</v>
      </c>
      <c r="E93" s="25" t="s">
        <v>330</v>
      </c>
      <c r="F93" t="s">
        <v>60</v>
      </c>
      <c r="G93" s="58" t="s">
        <v>61</v>
      </c>
      <c r="H93" t="s">
        <v>62</v>
      </c>
    </row>
    <row r="94" spans="1:10" x14ac:dyDescent="0.2">
      <c r="A94" s="57">
        <v>46045</v>
      </c>
      <c r="B94" t="s">
        <v>333</v>
      </c>
      <c r="C94" t="s">
        <v>234</v>
      </c>
      <c r="D94" s="61" t="s">
        <v>222</v>
      </c>
      <c r="E94" s="53">
        <v>3387205351</v>
      </c>
      <c r="F94" t="s">
        <v>52</v>
      </c>
      <c r="G94" s="62" t="s">
        <v>170</v>
      </c>
    </row>
    <row r="95" spans="1:10" x14ac:dyDescent="0.2">
      <c r="A95" s="57">
        <v>46045</v>
      </c>
      <c r="B95" t="s">
        <v>333</v>
      </c>
      <c r="C95" t="s">
        <v>234</v>
      </c>
      <c r="D95" s="61" t="s">
        <v>334</v>
      </c>
      <c r="E95" s="53">
        <v>3386484910</v>
      </c>
      <c r="F95" t="s">
        <v>52</v>
      </c>
      <c r="G95" s="60" t="s">
        <v>69</v>
      </c>
      <c r="H95" s="6" t="s">
        <v>70</v>
      </c>
      <c r="I95" s="57">
        <v>46051</v>
      </c>
      <c r="J95" s="6" t="s">
        <v>346</v>
      </c>
    </row>
    <row r="96" spans="1:10" x14ac:dyDescent="0.2">
      <c r="A96" s="57">
        <v>46045</v>
      </c>
      <c r="B96" t="s">
        <v>333</v>
      </c>
      <c r="C96" t="s">
        <v>234</v>
      </c>
      <c r="D96" s="61" t="s">
        <v>335</v>
      </c>
      <c r="E96" s="53">
        <v>3517011414</v>
      </c>
      <c r="F96" t="s">
        <v>52</v>
      </c>
      <c r="G96" s="59" t="s">
        <v>168</v>
      </c>
      <c r="H96" t="s">
        <v>286</v>
      </c>
    </row>
    <row r="97" spans="1:10" x14ac:dyDescent="0.2">
      <c r="A97" s="57">
        <v>46045</v>
      </c>
      <c r="B97" t="s">
        <v>333</v>
      </c>
      <c r="C97" t="s">
        <v>234</v>
      </c>
      <c r="D97" s="61" t="s">
        <v>336</v>
      </c>
      <c r="E97" s="53">
        <v>3289051937</v>
      </c>
      <c r="F97" t="s">
        <v>52</v>
      </c>
      <c r="G97" s="59" t="s">
        <v>168</v>
      </c>
      <c r="H97" t="s">
        <v>347</v>
      </c>
    </row>
    <row r="98" spans="1:10" x14ac:dyDescent="0.2">
      <c r="A98" s="57">
        <v>46045</v>
      </c>
      <c r="B98" t="s">
        <v>333</v>
      </c>
      <c r="C98" s="66" t="s">
        <v>234</v>
      </c>
      <c r="D98" s="61" t="s">
        <v>337</v>
      </c>
      <c r="E98" s="53">
        <v>3485650603</v>
      </c>
      <c r="F98" t="s">
        <v>52</v>
      </c>
      <c r="G98" s="59" t="s">
        <v>168</v>
      </c>
      <c r="H98" t="s">
        <v>286</v>
      </c>
    </row>
    <row r="99" spans="1:10" x14ac:dyDescent="0.2">
      <c r="A99" s="57">
        <v>46045</v>
      </c>
      <c r="B99" t="s">
        <v>333</v>
      </c>
      <c r="C99" s="66" t="s">
        <v>234</v>
      </c>
      <c r="D99" s="61" t="s">
        <v>338</v>
      </c>
      <c r="E99" s="53" t="s">
        <v>341</v>
      </c>
      <c r="F99" t="s">
        <v>52</v>
      </c>
      <c r="G99" s="60" t="s">
        <v>69</v>
      </c>
      <c r="H99" t="s">
        <v>356</v>
      </c>
    </row>
    <row r="100" spans="1:10" x14ac:dyDescent="0.2">
      <c r="A100" s="57">
        <v>46045</v>
      </c>
      <c r="B100" t="s">
        <v>333</v>
      </c>
      <c r="C100" s="66" t="s">
        <v>234</v>
      </c>
      <c r="D100" s="61" t="s">
        <v>339</v>
      </c>
      <c r="E100" s="53" t="s">
        <v>342</v>
      </c>
      <c r="F100" t="s">
        <v>52</v>
      </c>
      <c r="G100" s="62" t="s">
        <v>261</v>
      </c>
    </row>
    <row r="101" spans="1:10" x14ac:dyDescent="0.2">
      <c r="A101" s="57">
        <v>46045</v>
      </c>
      <c r="B101" t="s">
        <v>333</v>
      </c>
      <c r="C101" s="66" t="s">
        <v>234</v>
      </c>
      <c r="D101" s="61" t="s">
        <v>340</v>
      </c>
      <c r="E101" s="53" t="s">
        <v>343</v>
      </c>
      <c r="F101" t="s">
        <v>52</v>
      </c>
      <c r="G101" s="62" t="s">
        <v>261</v>
      </c>
    </row>
    <row r="102" spans="1:10" x14ac:dyDescent="0.2">
      <c r="A102" s="57">
        <v>46045</v>
      </c>
      <c r="B102" t="s">
        <v>333</v>
      </c>
      <c r="C102" s="66" t="s">
        <v>234</v>
      </c>
      <c r="D102" s="23" t="s">
        <v>345</v>
      </c>
      <c r="E102" s="53" t="s">
        <v>344</v>
      </c>
      <c r="F102" t="s">
        <v>52</v>
      </c>
      <c r="G102" s="62" t="s">
        <v>261</v>
      </c>
    </row>
    <row r="103" spans="1:10" x14ac:dyDescent="0.2">
      <c r="A103" s="57">
        <v>46045</v>
      </c>
      <c r="B103" t="s">
        <v>333</v>
      </c>
      <c r="C103" s="66" t="s">
        <v>234</v>
      </c>
      <c r="D103" s="23" t="s">
        <v>348</v>
      </c>
      <c r="E103" s="53" t="s">
        <v>353</v>
      </c>
      <c r="F103" t="s">
        <v>52</v>
      </c>
      <c r="G103" s="59" t="s">
        <v>168</v>
      </c>
      <c r="H103" t="s">
        <v>286</v>
      </c>
    </row>
    <row r="104" spans="1:10" x14ac:dyDescent="0.2">
      <c r="A104" s="57">
        <v>46045</v>
      </c>
      <c r="B104" t="s">
        <v>333</v>
      </c>
      <c r="C104" s="66" t="s">
        <v>234</v>
      </c>
      <c r="D104" s="23" t="s">
        <v>349</v>
      </c>
      <c r="E104" s="53">
        <v>3355292860</v>
      </c>
      <c r="F104" t="s">
        <v>52</v>
      </c>
      <c r="G104" s="60" t="s">
        <v>169</v>
      </c>
      <c r="H104" t="s">
        <v>70</v>
      </c>
      <c r="I104" s="57">
        <v>46048</v>
      </c>
      <c r="J104" s="6" t="s">
        <v>357</v>
      </c>
    </row>
    <row r="105" spans="1:10" x14ac:dyDescent="0.2">
      <c r="A105" s="57">
        <v>46045</v>
      </c>
      <c r="B105" t="s">
        <v>333</v>
      </c>
      <c r="C105" s="66" t="s">
        <v>234</v>
      </c>
      <c r="D105" s="23" t="s">
        <v>350</v>
      </c>
      <c r="E105" s="24">
        <v>3356253956</v>
      </c>
      <c r="F105" t="s">
        <v>52</v>
      </c>
      <c r="G105" s="62" t="s">
        <v>261</v>
      </c>
      <c r="H105" t="s">
        <v>358</v>
      </c>
    </row>
    <row r="106" spans="1:10" x14ac:dyDescent="0.2">
      <c r="A106" s="57">
        <v>46045</v>
      </c>
      <c r="B106" t="s">
        <v>333</v>
      </c>
      <c r="C106" s="66" t="s">
        <v>234</v>
      </c>
      <c r="D106" s="23" t="s">
        <v>351</v>
      </c>
      <c r="E106" s="67" t="s">
        <v>354</v>
      </c>
      <c r="F106" t="s">
        <v>60</v>
      </c>
      <c r="G106" s="58" t="s">
        <v>61</v>
      </c>
      <c r="H106" t="s">
        <v>62</v>
      </c>
    </row>
    <row r="107" spans="1:10" x14ac:dyDescent="0.2">
      <c r="A107" s="57">
        <v>46045</v>
      </c>
      <c r="B107" t="s">
        <v>333</v>
      </c>
      <c r="C107" s="66" t="s">
        <v>234</v>
      </c>
      <c r="D107" s="54" t="s">
        <v>352</v>
      </c>
      <c r="E107" s="67" t="s">
        <v>355</v>
      </c>
      <c r="F107" t="s">
        <v>60</v>
      </c>
      <c r="G107" s="58" t="s">
        <v>61</v>
      </c>
      <c r="H107" t="s">
        <v>62</v>
      </c>
    </row>
    <row r="108" spans="1:10" x14ac:dyDescent="0.2">
      <c r="A108" s="57" t="s">
        <v>372</v>
      </c>
      <c r="C108" s="66"/>
      <c r="D108" s="54"/>
      <c r="E108" s="68"/>
      <c r="G108" s="58"/>
    </row>
    <row r="109" spans="1:10" x14ac:dyDescent="0.2">
      <c r="A109" s="57">
        <v>46048</v>
      </c>
      <c r="B109" t="s">
        <v>48</v>
      </c>
      <c r="C109" s="66" t="s">
        <v>234</v>
      </c>
      <c r="D109" s="54" t="s">
        <v>359</v>
      </c>
      <c r="E109" s="24">
        <v>3884287850</v>
      </c>
      <c r="F109" t="s">
        <v>52</v>
      </c>
      <c r="G109" s="59" t="s">
        <v>168</v>
      </c>
      <c r="H109" t="s">
        <v>286</v>
      </c>
    </row>
    <row r="110" spans="1:10" x14ac:dyDescent="0.2">
      <c r="A110" s="57">
        <v>46048</v>
      </c>
      <c r="B110" t="s">
        <v>48</v>
      </c>
      <c r="C110" s="66" t="s">
        <v>49</v>
      </c>
      <c r="D110" s="54" t="s">
        <v>361</v>
      </c>
      <c r="E110" s="25" t="s">
        <v>360</v>
      </c>
      <c r="F110" t="s">
        <v>60</v>
      </c>
      <c r="G110" s="58" t="s">
        <v>61</v>
      </c>
      <c r="H110" t="s">
        <v>62</v>
      </c>
    </row>
    <row r="111" spans="1:10" x14ac:dyDescent="0.2">
      <c r="A111" s="57">
        <v>46048</v>
      </c>
      <c r="B111" t="s">
        <v>48</v>
      </c>
      <c r="C111" s="66" t="s">
        <v>49</v>
      </c>
      <c r="D111" s="23" t="s">
        <v>363</v>
      </c>
      <c r="E111" s="67" t="s">
        <v>362</v>
      </c>
      <c r="F111" t="s">
        <v>60</v>
      </c>
      <c r="G111" s="58" t="s">
        <v>61</v>
      </c>
      <c r="H111" t="s">
        <v>62</v>
      </c>
    </row>
    <row r="112" spans="1:10" x14ac:dyDescent="0.2">
      <c r="A112" s="57">
        <v>46048</v>
      </c>
      <c r="B112" t="s">
        <v>48</v>
      </c>
      <c r="C112" s="66" t="s">
        <v>49</v>
      </c>
      <c r="D112" s="23" t="s">
        <v>365</v>
      </c>
      <c r="E112" s="67" t="s">
        <v>364</v>
      </c>
      <c r="F112" t="s">
        <v>60</v>
      </c>
      <c r="G112" s="58" t="s">
        <v>61</v>
      </c>
      <c r="H112" t="s">
        <v>62</v>
      </c>
    </row>
    <row r="113" spans="1:8" x14ac:dyDescent="0.2">
      <c r="A113" s="57">
        <v>46048</v>
      </c>
      <c r="B113" t="s">
        <v>48</v>
      </c>
      <c r="C113" s="66" t="s">
        <v>49</v>
      </c>
      <c r="D113" s="23" t="s">
        <v>369</v>
      </c>
      <c r="E113" s="23" t="s">
        <v>366</v>
      </c>
      <c r="F113" t="s">
        <v>60</v>
      </c>
      <c r="G113" s="58" t="s">
        <v>61</v>
      </c>
      <c r="H113" t="s">
        <v>62</v>
      </c>
    </row>
    <row r="114" spans="1:8" x14ac:dyDescent="0.2">
      <c r="A114" s="57">
        <v>46048</v>
      </c>
      <c r="B114" t="s">
        <v>48</v>
      </c>
      <c r="C114" s="66" t="s">
        <v>49</v>
      </c>
      <c r="D114" s="23" t="s">
        <v>371</v>
      </c>
      <c r="E114" s="23" t="s">
        <v>367</v>
      </c>
      <c r="F114" t="s">
        <v>60</v>
      </c>
      <c r="G114" s="58" t="s">
        <v>61</v>
      </c>
      <c r="H114" t="s">
        <v>62</v>
      </c>
    </row>
    <row r="115" spans="1:8" x14ac:dyDescent="0.2">
      <c r="A115" s="57">
        <v>46048</v>
      </c>
      <c r="B115" t="s">
        <v>48</v>
      </c>
      <c r="C115" s="66" t="s">
        <v>49</v>
      </c>
      <c r="D115" s="23" t="s">
        <v>370</v>
      </c>
      <c r="E115" s="23" t="s">
        <v>368</v>
      </c>
      <c r="F115" t="s">
        <v>60</v>
      </c>
      <c r="G115" s="58" t="s">
        <v>61</v>
      </c>
      <c r="H115" t="s">
        <v>62</v>
      </c>
    </row>
    <row r="116" spans="1:8" x14ac:dyDescent="0.2">
      <c r="A116" s="57">
        <v>46050</v>
      </c>
      <c r="B116" t="s">
        <v>204</v>
      </c>
      <c r="C116" s="66" t="s">
        <v>49</v>
      </c>
      <c r="D116" s="23" t="s">
        <v>374</v>
      </c>
      <c r="E116" s="53" t="s">
        <v>373</v>
      </c>
      <c r="F116" t="s">
        <v>52</v>
      </c>
      <c r="G116" s="62" t="s">
        <v>261</v>
      </c>
    </row>
    <row r="117" spans="1:8" x14ac:dyDescent="0.2">
      <c r="A117" s="57">
        <v>46050</v>
      </c>
      <c r="B117" t="s">
        <v>204</v>
      </c>
      <c r="C117" s="66" t="s">
        <v>49</v>
      </c>
      <c r="D117" s="23" t="s">
        <v>375</v>
      </c>
      <c r="E117" s="24">
        <v>3776759169</v>
      </c>
      <c r="F117" t="s">
        <v>52</v>
      </c>
      <c r="G117" s="59" t="s">
        <v>168</v>
      </c>
      <c r="H117" t="s">
        <v>286</v>
      </c>
    </row>
    <row r="118" spans="1:8" x14ac:dyDescent="0.2">
      <c r="A118" s="57">
        <v>46050</v>
      </c>
      <c r="B118" t="s">
        <v>204</v>
      </c>
      <c r="C118" s="66" t="s">
        <v>49</v>
      </c>
      <c r="D118" s="23" t="s">
        <v>376</v>
      </c>
      <c r="E118" s="69">
        <v>3662043768</v>
      </c>
      <c r="F118" t="s">
        <v>52</v>
      </c>
      <c r="G118" s="62" t="s">
        <v>261</v>
      </c>
      <c r="H118" t="s">
        <v>358</v>
      </c>
    </row>
    <row r="119" spans="1:8" x14ac:dyDescent="0.2">
      <c r="A119" s="57">
        <v>46050</v>
      </c>
      <c r="B119" t="s">
        <v>204</v>
      </c>
      <c r="C119" s="66" t="s">
        <v>49</v>
      </c>
      <c r="D119" s="23" t="s">
        <v>377</v>
      </c>
      <c r="E119" s="69">
        <v>3688049329</v>
      </c>
      <c r="F119" t="s">
        <v>52</v>
      </c>
      <c r="G119" s="62" t="s">
        <v>261</v>
      </c>
    </row>
    <row r="120" spans="1:8" x14ac:dyDescent="0.2">
      <c r="A120" s="57">
        <v>46050</v>
      </c>
      <c r="B120" t="s">
        <v>204</v>
      </c>
      <c r="C120" s="66" t="s">
        <v>49</v>
      </c>
      <c r="D120" s="23" t="s">
        <v>378</v>
      </c>
      <c r="E120" s="69">
        <v>3478477590</v>
      </c>
      <c r="F120" t="s">
        <v>52</v>
      </c>
      <c r="G120" s="62" t="s">
        <v>261</v>
      </c>
      <c r="H120" t="s">
        <v>379</v>
      </c>
    </row>
    <row r="121" spans="1:8" x14ac:dyDescent="0.2">
      <c r="A121" s="57">
        <v>46050</v>
      </c>
      <c r="B121" t="s">
        <v>204</v>
      </c>
      <c r="C121" s="66" t="s">
        <v>49</v>
      </c>
      <c r="D121" s="23" t="s">
        <v>380</v>
      </c>
      <c r="E121" s="69">
        <v>3382489222</v>
      </c>
      <c r="F121" t="s">
        <v>52</v>
      </c>
      <c r="G121" s="62" t="s">
        <v>261</v>
      </c>
    </row>
    <row r="122" spans="1:8" x14ac:dyDescent="0.2">
      <c r="A122" s="57">
        <v>46050</v>
      </c>
      <c r="B122" t="s">
        <v>204</v>
      </c>
      <c r="C122" s="66" t="s">
        <v>49</v>
      </c>
      <c r="D122" s="23" t="s">
        <v>381</v>
      </c>
      <c r="E122" s="69">
        <v>34676198737</v>
      </c>
      <c r="F122" t="s">
        <v>52</v>
      </c>
      <c r="G122" s="59" t="s">
        <v>168</v>
      </c>
      <c r="H122" t="s">
        <v>286</v>
      </c>
    </row>
    <row r="123" spans="1:8" x14ac:dyDescent="0.2">
      <c r="A123" s="57">
        <v>46050</v>
      </c>
      <c r="B123" t="s">
        <v>204</v>
      </c>
      <c r="C123" s="66" t="s">
        <v>49</v>
      </c>
      <c r="D123" s="23" t="s">
        <v>382</v>
      </c>
      <c r="E123" s="24">
        <v>3280466133</v>
      </c>
      <c r="F123" t="s">
        <v>52</v>
      </c>
      <c r="G123" s="59" t="s">
        <v>168</v>
      </c>
      <c r="H123" t="s">
        <v>286</v>
      </c>
    </row>
    <row r="124" spans="1:8" ht="17" x14ac:dyDescent="0.2">
      <c r="A124" s="57">
        <v>46052</v>
      </c>
      <c r="B124" t="s">
        <v>333</v>
      </c>
      <c r="C124" s="66" t="s">
        <v>49</v>
      </c>
      <c r="D124" s="83" t="s">
        <v>383</v>
      </c>
      <c r="E124" s="24">
        <v>3922352447</v>
      </c>
      <c r="F124" t="s">
        <v>52</v>
      </c>
      <c r="G124" s="59" t="s">
        <v>168</v>
      </c>
    </row>
    <row r="125" spans="1:8" x14ac:dyDescent="0.2">
      <c r="A125" s="57">
        <v>46052</v>
      </c>
      <c r="B125" t="s">
        <v>333</v>
      </c>
      <c r="C125" s="66" t="s">
        <v>49</v>
      </c>
      <c r="D125" t="s">
        <v>384</v>
      </c>
      <c r="E125" s="24">
        <v>3758013690</v>
      </c>
      <c r="F125" t="s">
        <v>52</v>
      </c>
      <c r="G125" s="63" t="s">
        <v>171</v>
      </c>
    </row>
    <row r="126" spans="1:8" x14ac:dyDescent="0.2">
      <c r="A126" s="57">
        <v>46052</v>
      </c>
      <c r="B126" t="s">
        <v>333</v>
      </c>
      <c r="C126" s="66" t="s">
        <v>49</v>
      </c>
      <c r="D126" s="54" t="s">
        <v>385</v>
      </c>
      <c r="E126" s="24">
        <v>3386444224</v>
      </c>
      <c r="F126" t="s">
        <v>52</v>
      </c>
      <c r="G126" s="59" t="s">
        <v>168</v>
      </c>
    </row>
    <row r="127" spans="1:8" x14ac:dyDescent="0.2">
      <c r="A127" s="57">
        <v>46052</v>
      </c>
      <c r="B127" t="s">
        <v>333</v>
      </c>
      <c r="C127" s="66" t="s">
        <v>49</v>
      </c>
      <c r="D127" s="54" t="s">
        <v>386</v>
      </c>
      <c r="E127" s="24">
        <v>3460588729</v>
      </c>
      <c r="F127" t="s">
        <v>52</v>
      </c>
      <c r="G127" s="59" t="s">
        <v>168</v>
      </c>
    </row>
    <row r="128" spans="1:8" x14ac:dyDescent="0.2">
      <c r="A128" s="57">
        <v>46052</v>
      </c>
      <c r="B128" t="s">
        <v>333</v>
      </c>
      <c r="C128" s="66" t="s">
        <v>49</v>
      </c>
      <c r="D128" t="s">
        <v>387</v>
      </c>
      <c r="E128" s="24">
        <v>3489587312</v>
      </c>
      <c r="F128" t="s">
        <v>52</v>
      </c>
      <c r="G128" s="63" t="s">
        <v>171</v>
      </c>
    </row>
    <row r="129" spans="1:10" x14ac:dyDescent="0.2">
      <c r="A129" s="57">
        <v>46052</v>
      </c>
      <c r="B129" t="s">
        <v>333</v>
      </c>
      <c r="C129" s="66" t="s">
        <v>49</v>
      </c>
      <c r="D129" s="54" t="s">
        <v>388</v>
      </c>
      <c r="E129" s="24">
        <v>3489587312</v>
      </c>
      <c r="F129" t="s">
        <v>52</v>
      </c>
      <c r="G129" s="60" t="s">
        <v>169</v>
      </c>
    </row>
    <row r="130" spans="1:10" x14ac:dyDescent="0.2">
      <c r="A130" s="57">
        <v>46052</v>
      </c>
      <c r="B130" t="s">
        <v>333</v>
      </c>
      <c r="C130" s="66" t="s">
        <v>49</v>
      </c>
      <c r="D130" t="s">
        <v>389</v>
      </c>
      <c r="E130" s="24">
        <v>3881184173</v>
      </c>
      <c r="F130" t="s">
        <v>52</v>
      </c>
      <c r="G130" s="59" t="s">
        <v>168</v>
      </c>
    </row>
    <row r="131" spans="1:10" x14ac:dyDescent="0.2">
      <c r="A131" s="57">
        <v>46052</v>
      </c>
      <c r="B131" t="s">
        <v>333</v>
      </c>
      <c r="C131" s="66" t="s">
        <v>49</v>
      </c>
      <c r="D131" s="56" t="s">
        <v>390</v>
      </c>
      <c r="E131" s="24">
        <v>3387648224</v>
      </c>
      <c r="F131" t="s">
        <v>52</v>
      </c>
      <c r="G131" s="59" t="s">
        <v>168</v>
      </c>
    </row>
    <row r="132" spans="1:10" x14ac:dyDescent="0.2">
      <c r="A132" s="57">
        <v>46052</v>
      </c>
      <c r="B132" t="s">
        <v>333</v>
      </c>
      <c r="C132" s="66" t="s">
        <v>49</v>
      </c>
      <c r="D132" s="54" t="s">
        <v>391</v>
      </c>
      <c r="E132" s="24">
        <v>366156266</v>
      </c>
      <c r="F132" t="s">
        <v>52</v>
      </c>
      <c r="G132" s="59" t="s">
        <v>168</v>
      </c>
    </row>
    <row r="133" spans="1:10" x14ac:dyDescent="0.2">
      <c r="A133" s="57">
        <v>46052</v>
      </c>
      <c r="B133" t="s">
        <v>333</v>
      </c>
      <c r="C133" s="66" t="s">
        <v>49</v>
      </c>
      <c r="D133" s="54" t="s">
        <v>392</v>
      </c>
      <c r="E133" s="24">
        <v>3492395104</v>
      </c>
      <c r="F133" t="s">
        <v>52</v>
      </c>
      <c r="G133" s="60" t="s">
        <v>169</v>
      </c>
    </row>
    <row r="134" spans="1:10" x14ac:dyDescent="0.2">
      <c r="A134" s="57">
        <v>46052</v>
      </c>
      <c r="B134" t="s">
        <v>333</v>
      </c>
      <c r="C134" s="66" t="s">
        <v>49</v>
      </c>
      <c r="D134" s="54" t="s">
        <v>393</v>
      </c>
      <c r="E134" s="24">
        <v>3479332334</v>
      </c>
      <c r="F134" t="s">
        <v>52</v>
      </c>
      <c r="G134" s="63" t="s">
        <v>171</v>
      </c>
    </row>
    <row r="135" spans="1:10" x14ac:dyDescent="0.2">
      <c r="A135" t="s">
        <v>394</v>
      </c>
    </row>
    <row r="136" spans="1:10" x14ac:dyDescent="0.2">
      <c r="A136" s="57">
        <v>46056</v>
      </c>
      <c r="B136" t="s">
        <v>182</v>
      </c>
      <c r="C136" s="66" t="s">
        <v>49</v>
      </c>
      <c r="D136" s="84" t="s">
        <v>395</v>
      </c>
      <c r="E136" s="24">
        <v>351077404</v>
      </c>
      <c r="F136" t="s">
        <v>52</v>
      </c>
      <c r="G136" s="85" t="s">
        <v>406</v>
      </c>
      <c r="H136" t="s">
        <v>54</v>
      </c>
    </row>
    <row r="137" spans="1:10" x14ac:dyDescent="0.2">
      <c r="A137" s="57">
        <v>46056</v>
      </c>
      <c r="B137" t="s">
        <v>182</v>
      </c>
      <c r="C137" s="66" t="s">
        <v>49</v>
      </c>
      <c r="D137" s="84" t="s">
        <v>396</v>
      </c>
      <c r="E137" s="24">
        <v>3394135995</v>
      </c>
      <c r="F137" t="s">
        <v>52</v>
      </c>
      <c r="G137" s="60" t="s">
        <v>169</v>
      </c>
      <c r="H137" t="s">
        <v>70</v>
      </c>
      <c r="I137" s="57">
        <v>46064</v>
      </c>
      <c r="J137" t="s">
        <v>407</v>
      </c>
    </row>
    <row r="138" spans="1:10" x14ac:dyDescent="0.2">
      <c r="A138" s="57">
        <v>46056</v>
      </c>
      <c r="B138" t="s">
        <v>182</v>
      </c>
      <c r="C138" s="66" t="s">
        <v>49</v>
      </c>
      <c r="D138" s="56" t="s">
        <v>401</v>
      </c>
      <c r="E138" s="24">
        <v>3516866454</v>
      </c>
      <c r="F138" t="s">
        <v>52</v>
      </c>
      <c r="G138" s="59" t="s">
        <v>168</v>
      </c>
      <c r="H138" t="s">
        <v>409</v>
      </c>
    </row>
    <row r="139" spans="1:10" x14ac:dyDescent="0.2">
      <c r="A139" s="57">
        <v>46056</v>
      </c>
      <c r="B139" t="s">
        <v>182</v>
      </c>
      <c r="C139" s="66" t="s">
        <v>49</v>
      </c>
      <c r="D139" s="84" t="s">
        <v>397</v>
      </c>
      <c r="E139" s="24">
        <v>3312280307</v>
      </c>
      <c r="F139" t="s">
        <v>52</v>
      </c>
      <c r="G139" s="59" t="s">
        <v>168</v>
      </c>
      <c r="H139" t="s">
        <v>409</v>
      </c>
    </row>
    <row r="140" spans="1:10" x14ac:dyDescent="0.2">
      <c r="A140" s="57">
        <v>46056</v>
      </c>
      <c r="B140" t="s">
        <v>182</v>
      </c>
      <c r="C140" s="66" t="s">
        <v>49</v>
      </c>
      <c r="D140" s="84" t="s">
        <v>398</v>
      </c>
      <c r="E140" s="24">
        <v>3484717119</v>
      </c>
      <c r="F140" t="s">
        <v>52</v>
      </c>
      <c r="G140" s="60" t="s">
        <v>169</v>
      </c>
      <c r="H140" t="s">
        <v>70</v>
      </c>
      <c r="I140" s="57">
        <v>46058</v>
      </c>
      <c r="J140" t="s">
        <v>408</v>
      </c>
    </row>
    <row r="141" spans="1:10" x14ac:dyDescent="0.2">
      <c r="A141" s="57">
        <v>46056</v>
      </c>
      <c r="B141" t="s">
        <v>182</v>
      </c>
      <c r="C141" s="66" t="s">
        <v>49</v>
      </c>
      <c r="D141" s="84" t="s">
        <v>399</v>
      </c>
      <c r="E141" s="25" t="s">
        <v>400</v>
      </c>
      <c r="F141" t="s">
        <v>60</v>
      </c>
      <c r="G141" s="58" t="s">
        <v>61</v>
      </c>
      <c r="H141" t="s">
        <v>62</v>
      </c>
    </row>
    <row r="142" spans="1:10" x14ac:dyDescent="0.2">
      <c r="A142" s="57">
        <v>46056</v>
      </c>
      <c r="B142" t="s">
        <v>182</v>
      </c>
      <c r="C142" s="66" t="s">
        <v>49</v>
      </c>
      <c r="D142" s="84" t="s">
        <v>402</v>
      </c>
      <c r="E142" s="24">
        <v>3382933088</v>
      </c>
      <c r="F142" t="s">
        <v>52</v>
      </c>
      <c r="G142" s="63" t="s">
        <v>171</v>
      </c>
    </row>
    <row r="143" spans="1:10" x14ac:dyDescent="0.2">
      <c r="A143" s="57">
        <v>46056</v>
      </c>
      <c r="B143" t="s">
        <v>182</v>
      </c>
      <c r="C143" s="66" t="s">
        <v>49</v>
      </c>
      <c r="D143" s="84" t="s">
        <v>403</v>
      </c>
      <c r="E143" s="24">
        <v>3389175360</v>
      </c>
      <c r="F143" t="s">
        <v>52</v>
      </c>
      <c r="G143" s="60" t="s">
        <v>169</v>
      </c>
      <c r="H143" t="s">
        <v>356</v>
      </c>
    </row>
    <row r="144" spans="1:10" x14ac:dyDescent="0.2">
      <c r="A144" s="57">
        <v>46056</v>
      </c>
      <c r="B144" t="s">
        <v>182</v>
      </c>
      <c r="C144" s="66" t="s">
        <v>49</v>
      </c>
      <c r="D144" s="84" t="s">
        <v>404</v>
      </c>
      <c r="E144" s="24">
        <v>3292828549</v>
      </c>
      <c r="F144" t="s">
        <v>52</v>
      </c>
      <c r="G144" s="85" t="s">
        <v>406</v>
      </c>
      <c r="H144" t="s">
        <v>54</v>
      </c>
    </row>
    <row r="145" spans="1:10" x14ac:dyDescent="0.2">
      <c r="A145" s="57">
        <v>46056</v>
      </c>
      <c r="B145" t="s">
        <v>182</v>
      </c>
      <c r="C145" s="66" t="s">
        <v>49</v>
      </c>
      <c r="D145" s="84" t="s">
        <v>405</v>
      </c>
      <c r="E145" s="24">
        <v>38951812128</v>
      </c>
      <c r="F145" t="s">
        <v>52</v>
      </c>
      <c r="G145" s="59" t="s">
        <v>168</v>
      </c>
      <c r="H145" t="s">
        <v>54</v>
      </c>
    </row>
    <row r="146" spans="1:10" x14ac:dyDescent="0.2">
      <c r="A146" s="57">
        <v>46057</v>
      </c>
      <c r="B146" t="s">
        <v>204</v>
      </c>
      <c r="C146" s="66" t="s">
        <v>234</v>
      </c>
      <c r="D146" s="84" t="s">
        <v>410</v>
      </c>
      <c r="E146" s="24">
        <v>3346416974</v>
      </c>
      <c r="F146" t="s">
        <v>52</v>
      </c>
      <c r="G146" s="59" t="s">
        <v>168</v>
      </c>
      <c r="H146" t="s">
        <v>409</v>
      </c>
    </row>
    <row r="147" spans="1:10" x14ac:dyDescent="0.2">
      <c r="A147" s="57">
        <v>46057</v>
      </c>
      <c r="B147" t="s">
        <v>204</v>
      </c>
      <c r="C147" s="66" t="s">
        <v>49</v>
      </c>
      <c r="D147" s="84" t="s">
        <v>411</v>
      </c>
      <c r="E147" s="24">
        <v>3471384403</v>
      </c>
      <c r="F147" t="s">
        <v>52</v>
      </c>
      <c r="G147" s="60" t="s">
        <v>169</v>
      </c>
      <c r="H147" t="s">
        <v>70</v>
      </c>
      <c r="I147" s="57">
        <v>46058</v>
      </c>
      <c r="J147" t="s">
        <v>413</v>
      </c>
    </row>
    <row r="148" spans="1:10" ht="17" x14ac:dyDescent="0.2">
      <c r="A148" s="57">
        <v>46057</v>
      </c>
      <c r="B148" t="s">
        <v>204</v>
      </c>
      <c r="C148" s="66" t="s">
        <v>49</v>
      </c>
      <c r="D148" s="86" t="s">
        <v>412</v>
      </c>
      <c r="E148" s="24">
        <v>3396748762</v>
      </c>
      <c r="F148" t="s">
        <v>52</v>
      </c>
      <c r="G148" s="59" t="s">
        <v>168</v>
      </c>
      <c r="H148" t="s">
        <v>409</v>
      </c>
    </row>
    <row r="149" spans="1:10" x14ac:dyDescent="0.2">
      <c r="A149" s="57">
        <v>46058</v>
      </c>
      <c r="B149" t="s">
        <v>332</v>
      </c>
      <c r="C149" s="66" t="s">
        <v>49</v>
      </c>
      <c r="D149" s="84" t="s">
        <v>414</v>
      </c>
      <c r="E149" s="24">
        <v>3802958496</v>
      </c>
      <c r="F149" t="s">
        <v>52</v>
      </c>
      <c r="G149" s="85" t="s">
        <v>261</v>
      </c>
    </row>
    <row r="150" spans="1:10" x14ac:dyDescent="0.2">
      <c r="A150" s="57" t="s">
        <v>422</v>
      </c>
      <c r="C150" s="66"/>
      <c r="D150" s="84"/>
      <c r="G150" s="87"/>
    </row>
    <row r="151" spans="1:10" x14ac:dyDescent="0.2">
      <c r="A151" s="57">
        <v>46062</v>
      </c>
      <c r="B151" t="s">
        <v>48</v>
      </c>
      <c r="C151" s="66" t="s">
        <v>49</v>
      </c>
      <c r="D151" s="84" t="s">
        <v>415</v>
      </c>
      <c r="E151" s="24">
        <v>3381084344</v>
      </c>
      <c r="F151" t="s">
        <v>52</v>
      </c>
      <c r="G151" s="59" t="s">
        <v>168</v>
      </c>
      <c r="H151" t="s">
        <v>409</v>
      </c>
    </row>
    <row r="152" spans="1:10" x14ac:dyDescent="0.2">
      <c r="A152" s="57">
        <v>46062</v>
      </c>
      <c r="B152" t="s">
        <v>48</v>
      </c>
      <c r="C152" s="66" t="s">
        <v>49</v>
      </c>
      <c r="D152" s="84" t="s">
        <v>385</v>
      </c>
      <c r="E152" s="24">
        <v>3758013690</v>
      </c>
      <c r="F152" t="s">
        <v>52</v>
      </c>
      <c r="G152" s="59" t="s">
        <v>168</v>
      </c>
      <c r="H152" t="s">
        <v>409</v>
      </c>
    </row>
    <row r="153" spans="1:10" x14ac:dyDescent="0.2">
      <c r="A153" s="57">
        <v>46062</v>
      </c>
      <c r="B153" t="s">
        <v>48</v>
      </c>
      <c r="C153" s="66" t="s">
        <v>49</v>
      </c>
      <c r="D153" s="84" t="s">
        <v>416</v>
      </c>
      <c r="E153" s="24">
        <v>3485276808</v>
      </c>
      <c r="F153" t="s">
        <v>52</v>
      </c>
      <c r="G153" s="60" t="s">
        <v>169</v>
      </c>
      <c r="H153" t="s">
        <v>70</v>
      </c>
      <c r="I153" s="57">
        <v>46065</v>
      </c>
      <c r="J153" t="s">
        <v>420</v>
      </c>
    </row>
    <row r="154" spans="1:10" x14ac:dyDescent="0.2">
      <c r="A154" s="57">
        <v>46062</v>
      </c>
      <c r="B154" t="s">
        <v>48</v>
      </c>
      <c r="C154" s="66" t="s">
        <v>49</v>
      </c>
      <c r="D154" s="84" t="s">
        <v>417</v>
      </c>
      <c r="E154" s="24">
        <v>3319390543</v>
      </c>
      <c r="F154" t="s">
        <v>52</v>
      </c>
      <c r="G154" s="59" t="s">
        <v>168</v>
      </c>
      <c r="H154" t="s">
        <v>409</v>
      </c>
    </row>
    <row r="155" spans="1:10" x14ac:dyDescent="0.2">
      <c r="A155" s="57">
        <v>46062</v>
      </c>
      <c r="B155" t="s">
        <v>48</v>
      </c>
      <c r="C155" s="66" t="s">
        <v>49</v>
      </c>
      <c r="D155" s="84" t="s">
        <v>418</v>
      </c>
      <c r="E155" s="24">
        <v>348828024</v>
      </c>
      <c r="F155" t="s">
        <v>52</v>
      </c>
      <c r="G155" s="60" t="s">
        <v>169</v>
      </c>
      <c r="H155" t="s">
        <v>70</v>
      </c>
      <c r="I155" s="57">
        <v>46065</v>
      </c>
      <c r="J155" t="s">
        <v>421</v>
      </c>
    </row>
    <row r="156" spans="1:10" x14ac:dyDescent="0.2">
      <c r="A156" s="57">
        <v>46062</v>
      </c>
      <c r="B156" t="s">
        <v>48</v>
      </c>
      <c r="C156" s="66" t="s">
        <v>49</v>
      </c>
      <c r="D156" s="84" t="s">
        <v>419</v>
      </c>
      <c r="E156" s="24">
        <v>3515761679</v>
      </c>
      <c r="F156" t="s">
        <v>52</v>
      </c>
      <c r="G156" s="59" t="s">
        <v>168</v>
      </c>
      <c r="H156" t="s">
        <v>409</v>
      </c>
    </row>
    <row r="157" spans="1:10" x14ac:dyDescent="0.2">
      <c r="A157" s="57">
        <v>46063</v>
      </c>
      <c r="B157" t="s">
        <v>182</v>
      </c>
      <c r="C157" s="66" t="s">
        <v>49</v>
      </c>
      <c r="D157" s="84" t="s">
        <v>423</v>
      </c>
      <c r="E157" s="24">
        <v>3921880698</v>
      </c>
      <c r="F157" t="s">
        <v>52</v>
      </c>
      <c r="G157" s="88" t="s">
        <v>432</v>
      </c>
    </row>
    <row r="158" spans="1:10" x14ac:dyDescent="0.2">
      <c r="A158" s="57">
        <v>46063</v>
      </c>
      <c r="B158" t="s">
        <v>182</v>
      </c>
      <c r="C158" s="66" t="s">
        <v>49</v>
      </c>
      <c r="D158" s="84" t="s">
        <v>424</v>
      </c>
      <c r="E158" s="24">
        <v>3517093135</v>
      </c>
      <c r="F158" t="s">
        <v>52</v>
      </c>
      <c r="G158" s="87"/>
    </row>
    <row r="159" spans="1:10" x14ac:dyDescent="0.2">
      <c r="A159" s="57">
        <v>46063</v>
      </c>
      <c r="B159" t="s">
        <v>182</v>
      </c>
      <c r="C159" s="66" t="s">
        <v>49</v>
      </c>
      <c r="D159" s="84" t="s">
        <v>425</v>
      </c>
      <c r="E159" s="24">
        <v>3898521124</v>
      </c>
      <c r="F159" t="s">
        <v>52</v>
      </c>
      <c r="G159" s="85" t="s">
        <v>261</v>
      </c>
    </row>
    <row r="160" spans="1:10" x14ac:dyDescent="0.2">
      <c r="A160" s="57">
        <v>46063</v>
      </c>
      <c r="B160" t="s">
        <v>182</v>
      </c>
      <c r="C160" s="66" t="s">
        <v>49</v>
      </c>
      <c r="D160" s="84" t="s">
        <v>426</v>
      </c>
      <c r="E160" s="24">
        <v>3295954873</v>
      </c>
      <c r="F160" t="s">
        <v>52</v>
      </c>
      <c r="G160" s="59" t="s">
        <v>168</v>
      </c>
      <c r="H160" t="s">
        <v>409</v>
      </c>
    </row>
    <row r="161" spans="1:10" x14ac:dyDescent="0.2">
      <c r="A161" s="57">
        <v>46063</v>
      </c>
      <c r="B161" t="s">
        <v>182</v>
      </c>
      <c r="C161" s="66" t="s">
        <v>49</v>
      </c>
      <c r="D161" s="84" t="s">
        <v>427</v>
      </c>
      <c r="E161" s="24">
        <v>3333592414</v>
      </c>
      <c r="F161" t="s">
        <v>52</v>
      </c>
      <c r="G161" s="59" t="s">
        <v>168</v>
      </c>
      <c r="H161" t="s">
        <v>409</v>
      </c>
    </row>
    <row r="162" spans="1:10" x14ac:dyDescent="0.2">
      <c r="A162" s="57">
        <v>46063</v>
      </c>
      <c r="B162" t="s">
        <v>182</v>
      </c>
      <c r="C162" s="66" t="s">
        <v>49</v>
      </c>
      <c r="D162" s="84" t="s">
        <v>428</v>
      </c>
      <c r="E162" s="24">
        <v>3280060440</v>
      </c>
      <c r="F162" t="s">
        <v>52</v>
      </c>
      <c r="G162" s="60" t="s">
        <v>169</v>
      </c>
      <c r="H162" t="s">
        <v>438</v>
      </c>
    </row>
    <row r="163" spans="1:10" x14ac:dyDescent="0.2">
      <c r="A163" s="57">
        <v>46063</v>
      </c>
      <c r="B163" t="s">
        <v>182</v>
      </c>
      <c r="C163" s="66" t="s">
        <v>49</v>
      </c>
      <c r="D163" s="84" t="s">
        <v>429</v>
      </c>
      <c r="E163" s="24">
        <v>3921579552</v>
      </c>
      <c r="F163" t="s">
        <v>52</v>
      </c>
      <c r="G163" s="60" t="s">
        <v>169</v>
      </c>
      <c r="H163" t="s">
        <v>70</v>
      </c>
      <c r="I163" s="57">
        <v>46066</v>
      </c>
      <c r="J163" t="s">
        <v>437</v>
      </c>
    </row>
    <row r="164" spans="1:10" x14ac:dyDescent="0.2">
      <c r="A164" s="57">
        <v>46063</v>
      </c>
      <c r="B164" t="s">
        <v>182</v>
      </c>
      <c r="C164" s="66" t="s">
        <v>49</v>
      </c>
      <c r="D164" s="84" t="s">
        <v>430</v>
      </c>
      <c r="E164" s="24">
        <v>3384279476</v>
      </c>
      <c r="F164" t="s">
        <v>52</v>
      </c>
      <c r="G164" s="85" t="s">
        <v>261</v>
      </c>
    </row>
    <row r="165" spans="1:10" x14ac:dyDescent="0.2">
      <c r="A165" s="57">
        <v>46063</v>
      </c>
      <c r="B165" t="s">
        <v>182</v>
      </c>
      <c r="C165" s="66" t="s">
        <v>49</v>
      </c>
      <c r="D165" s="84" t="s">
        <v>431</v>
      </c>
      <c r="E165" s="24">
        <v>3202638779</v>
      </c>
      <c r="F165" t="s">
        <v>52</v>
      </c>
      <c r="G165" s="59" t="s">
        <v>168</v>
      </c>
      <c r="H165" t="s">
        <v>409</v>
      </c>
      <c r="I165" s="57"/>
    </row>
    <row r="166" spans="1:10" x14ac:dyDescent="0.2">
      <c r="A166" s="57">
        <v>46064</v>
      </c>
      <c r="B166" t="s">
        <v>204</v>
      </c>
      <c r="C166" s="66" t="s">
        <v>49</v>
      </c>
      <c r="D166" s="84" t="s">
        <v>433</v>
      </c>
      <c r="E166" s="24">
        <v>3296411577</v>
      </c>
      <c r="F166" t="s">
        <v>52</v>
      </c>
      <c r="G166" s="59" t="s">
        <v>168</v>
      </c>
      <c r="H166" t="s">
        <v>409</v>
      </c>
    </row>
    <row r="167" spans="1:10" x14ac:dyDescent="0.2">
      <c r="A167" s="57">
        <v>46064</v>
      </c>
      <c r="B167" t="s">
        <v>204</v>
      </c>
      <c r="C167" s="66" t="s">
        <v>49</v>
      </c>
      <c r="D167" s="84" t="s">
        <v>434</v>
      </c>
      <c r="E167" s="24">
        <v>3514026637</v>
      </c>
      <c r="F167" t="s">
        <v>52</v>
      </c>
      <c r="G167" s="85" t="s">
        <v>261</v>
      </c>
    </row>
    <row r="168" spans="1:10" x14ac:dyDescent="0.2">
      <c r="A168" s="57">
        <v>46064</v>
      </c>
      <c r="B168" t="s">
        <v>204</v>
      </c>
      <c r="C168" s="66" t="s">
        <v>49</v>
      </c>
      <c r="D168" s="84" t="s">
        <v>435</v>
      </c>
      <c r="E168" s="24">
        <v>3278357164</v>
      </c>
      <c r="F168" t="s">
        <v>52</v>
      </c>
      <c r="G168" s="59" t="s">
        <v>168</v>
      </c>
      <c r="H168" t="s">
        <v>409</v>
      </c>
    </row>
    <row r="169" spans="1:10" x14ac:dyDescent="0.2">
      <c r="A169" s="57">
        <v>46064</v>
      </c>
      <c r="B169" t="s">
        <v>204</v>
      </c>
      <c r="C169" s="66" t="s">
        <v>49</v>
      </c>
      <c r="D169" s="84" t="s">
        <v>436</v>
      </c>
      <c r="E169" s="24">
        <v>3341495584</v>
      </c>
      <c r="F169" t="s">
        <v>52</v>
      </c>
      <c r="G169" s="59" t="s">
        <v>168</v>
      </c>
      <c r="H169" t="s">
        <v>409</v>
      </c>
    </row>
    <row r="170" spans="1:10" x14ac:dyDescent="0.2">
      <c r="A170" s="57"/>
      <c r="C170" s="66"/>
      <c r="D170" s="23"/>
      <c r="E170" s="69"/>
    </row>
    <row r="171" spans="1:10" x14ac:dyDescent="0.2">
      <c r="A171" s="57"/>
      <c r="C171" s="66"/>
      <c r="D171" s="84"/>
      <c r="E171" s="69"/>
    </row>
    <row r="172" spans="1:10" ht="16" x14ac:dyDescent="0.2">
      <c r="A172" s="57"/>
      <c r="C172" s="66"/>
      <c r="D172" s="90"/>
      <c r="E172" s="89"/>
    </row>
  </sheetData>
  <mergeCells count="2">
    <mergeCell ref="A1:J1"/>
    <mergeCell ref="A3:J3"/>
  </mergeCells>
  <hyperlinks>
    <hyperlink ref="E12" r:id="rId1" xr:uid="{A67FABF8-7F9E-544F-B01D-FEF9BD05DBF8}"/>
    <hyperlink ref="E16" r:id="rId2" xr:uid="{C9821B96-9821-7C43-9315-9E2C21846263}"/>
    <hyperlink ref="E19" r:id="rId3" xr:uid="{EA4BFFE2-3DA8-C343-94DE-8419E37DE6AC}"/>
    <hyperlink ref="E21" r:id="rId4" xr:uid="{7B64FECB-9B5E-FD45-85E0-E5AA556FBF33}"/>
    <hyperlink ref="E22" r:id="rId5" display="giorgio.ferranti@msn.com" xr:uid="{4348C7AF-F3FA-0747-B270-45F1DFF4984F}"/>
    <hyperlink ref="E25" r:id="rId6" xr:uid="{B82FACBE-387E-6245-BBB9-7FE1FDE88FD7}"/>
    <hyperlink ref="E28" r:id="rId7" xr:uid="{FA0369DD-859D-E24D-826D-6546E539F0B3}"/>
    <hyperlink ref="E31" r:id="rId8" xr:uid="{558E7B2F-04C9-EF45-A0A2-AA0A85B93A62}"/>
    <hyperlink ref="E37" r:id="rId9" xr:uid="{75A3530E-C8FE-9845-8F09-F2408E163F92}"/>
    <hyperlink ref="E40" r:id="rId10" xr:uid="{CF7F3B3C-20BD-EA4E-A836-069B3FC16425}"/>
    <hyperlink ref="E41" r:id="rId11" xr:uid="{A80864FD-4BBF-1E43-830E-ED4D80A8A29E}"/>
    <hyperlink ref="E42" r:id="rId12" xr:uid="{D1CE5F70-B91B-D842-B03B-FF6CE5919804}"/>
    <hyperlink ref="E45" r:id="rId13" xr:uid="{D2B4F293-B374-3F42-8339-170B13479497}"/>
    <hyperlink ref="E48" r:id="rId14" xr:uid="{C497D093-BAE0-1B4C-BBA6-40DA39427149}"/>
    <hyperlink ref="E51" r:id="rId15" xr:uid="{480EFBC6-6E9A-564C-8D11-86930F9C0B6E}"/>
    <hyperlink ref="E54" r:id="rId16" xr:uid="{1554CCF3-0348-A14D-829E-A979E0B51926}"/>
    <hyperlink ref="E55" r:id="rId17" xr:uid="{1CFE208C-7EB4-9042-AAD2-A7D2491033CD}"/>
    <hyperlink ref="E58" r:id="rId18" xr:uid="{7F0E593C-7CC2-2140-B48E-1A6EABC6F6A3}"/>
    <hyperlink ref="E60" r:id="rId19" xr:uid="{C0304C77-4840-F04B-A4C6-A59E8494DEB7}"/>
    <hyperlink ref="E63" r:id="rId20" display="mailto:giuliberard@gmail.com" xr:uid="{2D788234-7727-6D48-B921-4648EC00E456}"/>
    <hyperlink ref="E62" r:id="rId21" display="mailto:tizianab953@gmail.com" xr:uid="{D1C8F5F7-E779-8C4F-8BF6-3E9601003604}"/>
    <hyperlink ref="E67" r:id="rId22" xr:uid="{9347E12C-BF75-994B-B736-96F7D4CE6122}"/>
    <hyperlink ref="E71" r:id="rId23" xr:uid="{F5532937-1E98-2F49-BA57-36CD1C302C46}"/>
    <hyperlink ref="E72" r:id="rId24" xr:uid="{0BD2CB71-5A2D-BD48-B1B1-4F46A751D6B0}"/>
    <hyperlink ref="E74" r:id="rId25" xr:uid="{0D61A617-7E8D-2A46-935C-0002F527D0B4}"/>
    <hyperlink ref="E75" r:id="rId26" xr:uid="{B994CD46-9505-074D-89DA-69D62E0E4879}"/>
    <hyperlink ref="E78" r:id="rId27" xr:uid="{F44D1CF0-336E-FB49-B27A-7A31B24615F2}"/>
    <hyperlink ref="E86" r:id="rId28" xr:uid="{2D5C492B-4CEA-7A42-A5D3-34C62CF82E64}"/>
    <hyperlink ref="E88" r:id="rId29" xr:uid="{F9D97D0C-435D-2C4B-BA44-4D8DFFDE48E2}"/>
    <hyperlink ref="E90" r:id="rId30" xr:uid="{F738282F-9613-A24E-B215-DFB2C510C91D}"/>
    <hyperlink ref="E91" r:id="rId31" xr:uid="{4C13EB3C-F0F4-2745-9D24-A6BDA622A93F}"/>
    <hyperlink ref="E93" r:id="rId32" display="mailto:fiorenza.farne1@gmail.com" xr:uid="{440B0619-B9A2-5B4A-B3B6-896BF4EB0133}"/>
    <hyperlink ref="E106" r:id="rId33" xr:uid="{E6A19EA8-08EC-FD47-BC81-653B6EDF38EE}"/>
    <hyperlink ref="E107" r:id="rId34" xr:uid="{E5C14927-5F14-A94A-9110-29B272ACD5BD}"/>
    <hyperlink ref="E110" r:id="rId35" display="mailto:sarottoanna@gmail.com" xr:uid="{12809279-DDE8-1E45-93A4-5005EE1815AA}"/>
    <hyperlink ref="E111" r:id="rId36" xr:uid="{BCC38431-B0BF-2646-99AB-2F3F8AF60E59}"/>
    <hyperlink ref="E112" r:id="rId37" xr:uid="{6A5A30F4-96E1-EC46-B034-4B7795B7DF9C}"/>
    <hyperlink ref="E113" r:id="rId38" xr:uid="{4E01B0CB-99C8-6A40-849A-B2E2D20DB4BB}"/>
    <hyperlink ref="E114" r:id="rId39" xr:uid="{07F0D34C-BF63-FF45-B16F-16E05CAD09AC}"/>
    <hyperlink ref="E115" r:id="rId40" xr:uid="{104B13BF-C853-9E4F-87EE-D07410A4C86B}"/>
    <hyperlink ref="E141" r:id="rId41" display="mailto:andreadindo1@gmail.com" xr:uid="{F98E4239-1C09-1E4D-A28F-B0874CBB439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opLeftCell="B3" zoomScale="150" workbookViewId="0">
      <selection activeCell="H12" sqref="H12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8" customWidth="1"/>
    <col min="4" max="4" width="20" customWidth="1"/>
    <col min="5" max="5" width="15" customWidth="1"/>
    <col min="6" max="6" width="25" customWidth="1"/>
    <col min="7" max="7" width="12" customWidth="1"/>
    <col min="8" max="8" width="15" customWidth="1"/>
    <col min="9" max="9" width="33.5" bestFit="1" customWidth="1"/>
  </cols>
  <sheetData>
    <row r="1" spans="1:9" ht="25" customHeight="1" x14ac:dyDescent="0.2">
      <c r="A1" s="79" t="s">
        <v>73</v>
      </c>
      <c r="B1" s="71"/>
      <c r="C1" s="71"/>
      <c r="D1" s="71"/>
      <c r="E1" s="71"/>
      <c r="F1" s="71"/>
      <c r="G1" s="71"/>
      <c r="H1" s="71"/>
      <c r="I1" s="71"/>
    </row>
    <row r="3" spans="1:9" x14ac:dyDescent="0.2">
      <c r="A3" s="3" t="s">
        <v>74</v>
      </c>
      <c r="B3" s="3" t="s">
        <v>38</v>
      </c>
      <c r="C3" s="3" t="s">
        <v>75</v>
      </c>
      <c r="D3" s="3" t="s">
        <v>40</v>
      </c>
      <c r="E3" s="3" t="s">
        <v>76</v>
      </c>
      <c r="F3" s="3" t="s">
        <v>77</v>
      </c>
      <c r="G3" s="3" t="s">
        <v>17</v>
      </c>
      <c r="H3" s="3" t="s">
        <v>78</v>
      </c>
      <c r="I3" s="3" t="s">
        <v>46</v>
      </c>
    </row>
    <row r="4" spans="1:9" x14ac:dyDescent="0.2">
      <c r="A4" s="6">
        <v>1</v>
      </c>
      <c r="B4" s="6" t="s">
        <v>71</v>
      </c>
      <c r="C4" s="6" t="s">
        <v>79</v>
      </c>
      <c r="D4" s="6" t="s">
        <v>67</v>
      </c>
      <c r="E4" s="6" t="s">
        <v>68</v>
      </c>
      <c r="F4" s="6" t="s">
        <v>80</v>
      </c>
      <c r="G4" s="6" t="s">
        <v>49</v>
      </c>
      <c r="H4" s="17" t="s">
        <v>81</v>
      </c>
      <c r="I4" s="6" t="s">
        <v>82</v>
      </c>
    </row>
    <row r="5" spans="1:9" x14ac:dyDescent="0.2">
      <c r="A5" s="6">
        <v>2</v>
      </c>
      <c r="B5" s="6" t="s">
        <v>71</v>
      </c>
      <c r="C5" s="6" t="s">
        <v>83</v>
      </c>
      <c r="D5" s="6" t="s">
        <v>84</v>
      </c>
      <c r="E5" s="6" t="s">
        <v>85</v>
      </c>
      <c r="F5" s="6" t="s">
        <v>86</v>
      </c>
      <c r="G5" s="6" t="s">
        <v>49</v>
      </c>
      <c r="H5" s="18" t="s">
        <v>87</v>
      </c>
      <c r="I5" s="6" t="s">
        <v>88</v>
      </c>
    </row>
    <row r="6" spans="1:9" x14ac:dyDescent="0.2">
      <c r="A6" s="6">
        <v>3</v>
      </c>
      <c r="B6" s="6" t="s">
        <v>89</v>
      </c>
      <c r="C6" s="6" t="s">
        <v>90</v>
      </c>
      <c r="D6" s="6" t="s">
        <v>91</v>
      </c>
      <c r="E6" s="6" t="s">
        <v>92</v>
      </c>
      <c r="F6" s="6" t="s">
        <v>93</v>
      </c>
      <c r="G6" s="6" t="s">
        <v>57</v>
      </c>
      <c r="H6" s="17" t="s">
        <v>81</v>
      </c>
      <c r="I6" s="6" t="s">
        <v>94</v>
      </c>
    </row>
    <row r="7" spans="1:9" x14ac:dyDescent="0.2">
      <c r="A7" s="19">
        <v>4</v>
      </c>
      <c r="B7" s="19"/>
      <c r="C7" s="19"/>
      <c r="D7" s="19"/>
      <c r="E7" s="19"/>
      <c r="F7" s="19"/>
      <c r="G7" s="19"/>
      <c r="H7" s="19"/>
      <c r="I7" s="19"/>
    </row>
    <row r="8" spans="1:9" x14ac:dyDescent="0.2">
      <c r="A8" s="6">
        <v>5</v>
      </c>
      <c r="B8" s="20">
        <v>46037</v>
      </c>
      <c r="C8" s="6" t="s">
        <v>176</v>
      </c>
      <c r="D8" s="6" t="s">
        <v>152</v>
      </c>
      <c r="E8" s="6">
        <v>3276246536</v>
      </c>
      <c r="F8" s="26" t="s">
        <v>177</v>
      </c>
      <c r="G8" s="6" t="s">
        <v>178</v>
      </c>
      <c r="H8" s="40" t="s">
        <v>81</v>
      </c>
      <c r="I8" s="6"/>
    </row>
    <row r="9" spans="1:9" x14ac:dyDescent="0.2">
      <c r="A9" s="6">
        <v>6</v>
      </c>
      <c r="B9" s="20">
        <v>46037</v>
      </c>
      <c r="C9" s="6" t="s">
        <v>200</v>
      </c>
      <c r="D9" s="6" t="s">
        <v>197</v>
      </c>
      <c r="E9" s="6">
        <v>3454431743</v>
      </c>
      <c r="F9" s="26" t="s">
        <v>201</v>
      </c>
      <c r="G9" s="6" t="s">
        <v>202</v>
      </c>
      <c r="H9" s="40" t="s">
        <v>81</v>
      </c>
      <c r="I9" s="6" t="s">
        <v>203</v>
      </c>
    </row>
    <row r="10" spans="1:9" x14ac:dyDescent="0.2">
      <c r="A10" s="6">
        <v>7</v>
      </c>
      <c r="B10" s="20">
        <v>46045</v>
      </c>
      <c r="C10" s="6" t="s">
        <v>209</v>
      </c>
      <c r="D10" s="6" t="s">
        <v>207</v>
      </c>
      <c r="E10" s="6">
        <v>3358303589</v>
      </c>
      <c r="F10" s="26" t="s">
        <v>210</v>
      </c>
      <c r="G10" s="6" t="s">
        <v>178</v>
      </c>
      <c r="H10" s="29" t="s">
        <v>179</v>
      </c>
      <c r="I10" s="6" t="s">
        <v>211</v>
      </c>
    </row>
    <row r="11" spans="1:9" ht="16" x14ac:dyDescent="0.2">
      <c r="A11" s="6">
        <v>8</v>
      </c>
      <c r="B11" s="20">
        <v>46041</v>
      </c>
      <c r="C11" s="6" t="s">
        <v>209</v>
      </c>
      <c r="D11" s="6" t="s">
        <v>218</v>
      </c>
      <c r="E11" s="27">
        <v>3317545440</v>
      </c>
      <c r="F11" s="50" t="s">
        <v>220</v>
      </c>
      <c r="G11" s="6" t="s">
        <v>178</v>
      </c>
      <c r="H11" s="29" t="s">
        <v>87</v>
      </c>
      <c r="I11" s="6"/>
    </row>
    <row r="12" spans="1:9" x14ac:dyDescent="0.2">
      <c r="A12" s="6">
        <v>9</v>
      </c>
      <c r="B12" s="20">
        <v>46041</v>
      </c>
      <c r="C12" s="6" t="s">
        <v>238</v>
      </c>
      <c r="D12" s="6" t="s">
        <v>235</v>
      </c>
      <c r="E12" s="53" t="s">
        <v>240</v>
      </c>
      <c r="F12" s="25" t="s">
        <v>239</v>
      </c>
      <c r="G12" s="6" t="s">
        <v>178</v>
      </c>
      <c r="H12" s="29" t="s">
        <v>87</v>
      </c>
      <c r="I12" s="6" t="s">
        <v>241</v>
      </c>
    </row>
    <row r="13" spans="1:9" x14ac:dyDescent="0.2">
      <c r="A13" s="6">
        <v>10</v>
      </c>
      <c r="B13" s="6"/>
      <c r="C13" s="6"/>
      <c r="D13" s="6"/>
      <c r="E13" s="6"/>
      <c r="F13" s="6"/>
      <c r="G13" s="6"/>
      <c r="H13" s="6"/>
      <c r="I13" s="6"/>
    </row>
    <row r="14" spans="1:9" x14ac:dyDescent="0.2">
      <c r="A14" s="6">
        <v>11</v>
      </c>
      <c r="B14" s="6"/>
      <c r="C14" s="6"/>
      <c r="D14" s="6"/>
      <c r="E14" s="6"/>
      <c r="F14" s="6"/>
      <c r="G14" s="6"/>
      <c r="H14" s="6"/>
      <c r="I14" s="6"/>
    </row>
    <row r="15" spans="1:9" x14ac:dyDescent="0.2">
      <c r="A15" s="6">
        <v>12</v>
      </c>
      <c r="B15" s="6"/>
      <c r="C15" s="6"/>
      <c r="D15" s="6"/>
      <c r="E15" s="6"/>
      <c r="F15" s="6"/>
      <c r="G15" s="6"/>
      <c r="H15" s="6"/>
      <c r="I15" s="6"/>
    </row>
    <row r="16" spans="1:9" x14ac:dyDescent="0.2">
      <c r="A16" s="6">
        <v>13</v>
      </c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6">
        <v>14</v>
      </c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6">
        <v>15</v>
      </c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6">
        <v>16</v>
      </c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6">
        <v>17</v>
      </c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6">
        <v>18</v>
      </c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6">
        <v>19</v>
      </c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6">
        <v>20</v>
      </c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6">
        <v>21</v>
      </c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6">
        <v>22</v>
      </c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6">
        <v>23</v>
      </c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6">
        <v>24</v>
      </c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6">
        <v>25</v>
      </c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6">
        <v>26</v>
      </c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6">
        <v>27</v>
      </c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6">
        <v>28</v>
      </c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6">
        <v>29</v>
      </c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6">
        <v>30</v>
      </c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6">
        <v>31</v>
      </c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6">
        <v>32</v>
      </c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6">
        <v>33</v>
      </c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6">
        <v>34</v>
      </c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6">
        <v>35</v>
      </c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6">
        <v>36</v>
      </c>
      <c r="B39" s="6"/>
      <c r="C39" s="6"/>
      <c r="D39" s="6"/>
      <c r="E39" s="6"/>
      <c r="F39" s="6"/>
      <c r="G39" s="6"/>
      <c r="H39" s="6"/>
      <c r="I39" s="6"/>
    </row>
  </sheetData>
  <mergeCells count="1">
    <mergeCell ref="A1:I1"/>
  </mergeCells>
  <hyperlinks>
    <hyperlink ref="F8" r:id="rId1" xr:uid="{023CBB99-262D-D64D-A9C4-40CDF3A0155A}"/>
    <hyperlink ref="F9" r:id="rId2" xr:uid="{A7A19934-0AF2-634D-83F0-3BF3309B97D2}"/>
    <hyperlink ref="F10" r:id="rId3" xr:uid="{C2F167F3-ACA6-6241-9D11-BFE5176F9605}"/>
    <hyperlink ref="F11" r:id="rId4" xr:uid="{9CF72BAC-EF08-D744-A444-F2C1FE43BC7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selection sqref="A1:E1"/>
    </sheetView>
  </sheetViews>
  <sheetFormatPr baseColWidth="10" defaultColWidth="8.83203125" defaultRowHeight="15" x14ac:dyDescent="0.2"/>
  <cols>
    <col min="1" max="1" width="25" customWidth="1"/>
    <col min="2" max="3" width="12" customWidth="1"/>
    <col min="4" max="4" width="56.5" bestFit="1" customWidth="1"/>
    <col min="5" max="5" width="15" customWidth="1"/>
  </cols>
  <sheetData>
    <row r="1" spans="1:5" ht="25" customHeight="1" x14ac:dyDescent="0.2">
      <c r="A1" s="79" t="s">
        <v>95</v>
      </c>
      <c r="B1" s="71"/>
      <c r="C1" s="71"/>
      <c r="D1" s="71"/>
      <c r="E1" s="71"/>
    </row>
    <row r="3" spans="1:5" x14ac:dyDescent="0.2">
      <c r="A3" s="80" t="s">
        <v>96</v>
      </c>
      <c r="B3" s="71"/>
      <c r="C3" s="71"/>
      <c r="D3" s="71"/>
      <c r="E3" s="71"/>
    </row>
    <row r="5" spans="1:5" x14ac:dyDescent="0.2">
      <c r="A5" s="3" t="s">
        <v>97</v>
      </c>
      <c r="B5" s="3" t="s">
        <v>98</v>
      </c>
      <c r="C5" s="3" t="s">
        <v>17</v>
      </c>
      <c r="D5" s="3" t="s">
        <v>99</v>
      </c>
      <c r="E5" s="3" t="s">
        <v>43</v>
      </c>
    </row>
    <row r="6" spans="1:5" x14ac:dyDescent="0.2">
      <c r="A6" s="4" t="s">
        <v>100</v>
      </c>
      <c r="B6" s="6">
        <v>2</v>
      </c>
      <c r="C6" s="6" t="s">
        <v>180</v>
      </c>
      <c r="D6" s="6" t="s">
        <v>191</v>
      </c>
      <c r="E6" s="6"/>
    </row>
    <row r="7" spans="1:5" x14ac:dyDescent="0.2">
      <c r="A7" s="4" t="s">
        <v>101</v>
      </c>
      <c r="B7" s="6">
        <v>1</v>
      </c>
      <c r="C7" s="6" t="s">
        <v>180</v>
      </c>
      <c r="D7" s="6" t="s">
        <v>181</v>
      </c>
      <c r="E7" s="6"/>
    </row>
    <row r="8" spans="1:5" x14ac:dyDescent="0.2">
      <c r="A8" s="4" t="s">
        <v>102</v>
      </c>
      <c r="B8" s="6">
        <v>0</v>
      </c>
      <c r="C8" s="6"/>
      <c r="D8" s="6"/>
      <c r="E8" s="6"/>
    </row>
    <row r="9" spans="1:5" x14ac:dyDescent="0.2">
      <c r="A9" s="4" t="s">
        <v>103</v>
      </c>
      <c r="B9" s="6">
        <v>0</v>
      </c>
      <c r="C9" s="6"/>
      <c r="D9" s="6"/>
      <c r="E9" s="6"/>
    </row>
    <row r="10" spans="1:5" x14ac:dyDescent="0.2">
      <c r="A10" s="4" t="s">
        <v>104</v>
      </c>
      <c r="B10" s="6">
        <v>0</v>
      </c>
      <c r="C10" s="6"/>
      <c r="D10" s="6"/>
      <c r="E10" s="6"/>
    </row>
    <row r="11" spans="1:5" x14ac:dyDescent="0.2">
      <c r="A11" s="4" t="s">
        <v>105</v>
      </c>
      <c r="B11" s="6">
        <v>0</v>
      </c>
      <c r="C11" s="6"/>
      <c r="D11" s="6"/>
      <c r="E11" s="6"/>
    </row>
    <row r="12" spans="1:5" x14ac:dyDescent="0.2">
      <c r="A12" s="6"/>
      <c r="B12" s="6"/>
      <c r="C12" s="6"/>
      <c r="D12" s="6"/>
      <c r="E12" s="6"/>
    </row>
    <row r="13" spans="1:5" x14ac:dyDescent="0.2">
      <c r="A13" s="6"/>
      <c r="B13" s="6"/>
      <c r="C13" s="6"/>
      <c r="D13" s="6"/>
      <c r="E13" s="6"/>
    </row>
    <row r="14" spans="1:5" x14ac:dyDescent="0.2">
      <c r="A14" s="6"/>
      <c r="B14" s="6"/>
      <c r="C14" s="6"/>
      <c r="D14" s="6"/>
      <c r="E14" s="6"/>
    </row>
    <row r="15" spans="1:5" x14ac:dyDescent="0.2">
      <c r="A15" s="6"/>
      <c r="B15" s="6"/>
      <c r="C15" s="6"/>
      <c r="D15" s="6"/>
      <c r="E15" s="6"/>
    </row>
    <row r="16" spans="1:5" x14ac:dyDescent="0.2">
      <c r="A16" s="6"/>
      <c r="B16" s="6"/>
      <c r="C16" s="6"/>
      <c r="D16" s="6"/>
      <c r="E16" s="6"/>
    </row>
    <row r="17" spans="1:5" x14ac:dyDescent="0.2">
      <c r="A17" s="6"/>
      <c r="B17" s="6"/>
      <c r="C17" s="6"/>
      <c r="D17" s="6"/>
      <c r="E17" s="6"/>
    </row>
    <row r="18" spans="1:5" x14ac:dyDescent="0.2">
      <c r="A18" s="6"/>
      <c r="B18" s="6"/>
      <c r="C18" s="6"/>
      <c r="D18" s="6"/>
      <c r="E18" s="6"/>
    </row>
    <row r="19" spans="1:5" x14ac:dyDescent="0.2">
      <c r="A19" s="6"/>
      <c r="B19" s="6"/>
      <c r="C19" s="6"/>
      <c r="D19" s="6"/>
      <c r="E19" s="6"/>
    </row>
    <row r="20" spans="1:5" x14ac:dyDescent="0.2">
      <c r="A20" s="6"/>
      <c r="B20" s="6"/>
      <c r="C20" s="6"/>
      <c r="D20" s="6"/>
      <c r="E20" s="6"/>
    </row>
    <row r="21" spans="1:5" x14ac:dyDescent="0.2">
      <c r="A21" s="6"/>
      <c r="B21" s="6"/>
      <c r="C21" s="6"/>
      <c r="D21" s="6"/>
      <c r="E21" s="6"/>
    </row>
    <row r="22" spans="1:5" x14ac:dyDescent="0.2">
      <c r="A22" s="6"/>
      <c r="B22" s="6"/>
      <c r="C22" s="6"/>
      <c r="D22" s="6"/>
      <c r="E22" s="6"/>
    </row>
    <row r="23" spans="1:5" x14ac:dyDescent="0.2">
      <c r="A23" s="6"/>
      <c r="B23" s="6"/>
      <c r="C23" s="6"/>
      <c r="D23" s="6"/>
      <c r="E23" s="6"/>
    </row>
    <row r="24" spans="1:5" x14ac:dyDescent="0.2">
      <c r="A24" s="6"/>
      <c r="B24" s="6"/>
      <c r="C24" s="6"/>
      <c r="D24" s="6"/>
      <c r="E24" s="6"/>
    </row>
    <row r="25" spans="1:5" x14ac:dyDescent="0.2">
      <c r="A25" s="6"/>
      <c r="B25" s="6"/>
      <c r="C25" s="6"/>
      <c r="D25" s="6"/>
      <c r="E25" s="6"/>
    </row>
    <row r="26" spans="1:5" x14ac:dyDescent="0.2">
      <c r="A26" s="6"/>
      <c r="B26" s="6"/>
      <c r="C26" s="6"/>
      <c r="D26" s="6"/>
      <c r="E26" s="6"/>
    </row>
    <row r="27" spans="1:5" x14ac:dyDescent="0.2">
      <c r="A27" s="6"/>
      <c r="B27" s="6"/>
      <c r="C27" s="6"/>
      <c r="D27" s="6"/>
      <c r="E27" s="6"/>
    </row>
    <row r="28" spans="1:5" x14ac:dyDescent="0.2">
      <c r="A28" s="6"/>
      <c r="B28" s="6"/>
      <c r="C28" s="6"/>
      <c r="D28" s="6"/>
      <c r="E28" s="6"/>
    </row>
    <row r="29" spans="1:5" x14ac:dyDescent="0.2">
      <c r="A29" s="6"/>
      <c r="B29" s="6"/>
      <c r="C29" s="6"/>
      <c r="D29" s="6"/>
      <c r="E29" s="6"/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workbookViewId="0">
      <selection activeCell="B55" sqref="B55"/>
    </sheetView>
  </sheetViews>
  <sheetFormatPr baseColWidth="10" defaultColWidth="8.83203125" defaultRowHeight="15" x14ac:dyDescent="0.2"/>
  <cols>
    <col min="1" max="1" width="25" customWidth="1"/>
    <col min="2" max="2" width="60" customWidth="1"/>
  </cols>
  <sheetData>
    <row r="1" spans="1:6" ht="25" customHeight="1" x14ac:dyDescent="0.2">
      <c r="A1" s="79" t="s">
        <v>106</v>
      </c>
      <c r="B1" s="71"/>
      <c r="C1" s="71"/>
      <c r="D1" s="71"/>
      <c r="E1" s="71"/>
      <c r="F1" s="71"/>
    </row>
    <row r="4" spans="1:6" ht="17" x14ac:dyDescent="0.2">
      <c r="A4" s="82" t="s">
        <v>107</v>
      </c>
      <c r="B4" s="71"/>
      <c r="C4" s="71"/>
      <c r="D4" s="71"/>
      <c r="E4" s="71"/>
      <c r="F4" s="71"/>
    </row>
    <row r="6" spans="1:6" ht="16" x14ac:dyDescent="0.2">
      <c r="A6" s="81" t="s">
        <v>108</v>
      </c>
      <c r="B6" s="71"/>
      <c r="C6" s="71"/>
      <c r="D6" s="71"/>
      <c r="E6" s="71"/>
      <c r="F6" s="71"/>
    </row>
    <row r="7" spans="1:6" x14ac:dyDescent="0.2">
      <c r="B7" s="71" t="s">
        <v>109</v>
      </c>
      <c r="C7" s="71"/>
      <c r="D7" s="71"/>
      <c r="E7" s="71"/>
      <c r="F7" s="71"/>
    </row>
    <row r="8" spans="1:6" x14ac:dyDescent="0.2">
      <c r="B8" s="71" t="s">
        <v>110</v>
      </c>
      <c r="C8" s="71"/>
      <c r="D8" s="71"/>
      <c r="E8" s="71"/>
      <c r="F8" s="71"/>
    </row>
    <row r="9" spans="1:6" x14ac:dyDescent="0.2">
      <c r="B9" s="71" t="s">
        <v>111</v>
      </c>
      <c r="C9" s="71"/>
      <c r="D9" s="71"/>
      <c r="E9" s="71"/>
      <c r="F9" s="71"/>
    </row>
    <row r="11" spans="1:6" ht="16" x14ac:dyDescent="0.2">
      <c r="A11" s="81" t="s">
        <v>112</v>
      </c>
      <c r="B11" s="71"/>
      <c r="C11" s="71"/>
      <c r="D11" s="71"/>
      <c r="E11" s="71"/>
      <c r="F11" s="71"/>
    </row>
    <row r="12" spans="1:6" x14ac:dyDescent="0.2">
      <c r="B12" s="71" t="s">
        <v>113</v>
      </c>
      <c r="C12" s="71"/>
      <c r="D12" s="71"/>
      <c r="E12" s="71"/>
      <c r="F12" s="71"/>
    </row>
    <row r="13" spans="1:6" x14ac:dyDescent="0.2">
      <c r="B13" s="71" t="s">
        <v>114</v>
      </c>
      <c r="C13" s="71"/>
      <c r="D13" s="71"/>
      <c r="E13" s="71"/>
      <c r="F13" s="71"/>
    </row>
    <row r="14" spans="1:6" x14ac:dyDescent="0.2">
      <c r="B14" s="71" t="s">
        <v>115</v>
      </c>
      <c r="C14" s="71"/>
      <c r="D14" s="71"/>
      <c r="E14" s="71"/>
      <c r="F14" s="71"/>
    </row>
    <row r="15" spans="1:6" x14ac:dyDescent="0.2">
      <c r="B15" s="71" t="s">
        <v>116</v>
      </c>
      <c r="C15" s="71"/>
      <c r="D15" s="71"/>
      <c r="E15" s="71"/>
      <c r="F15" s="71"/>
    </row>
    <row r="16" spans="1:6" x14ac:dyDescent="0.2">
      <c r="B16" s="71" t="s">
        <v>117</v>
      </c>
      <c r="C16" s="71"/>
      <c r="D16" s="71"/>
      <c r="E16" s="71"/>
      <c r="F16" s="71"/>
    </row>
    <row r="18" spans="1:6" ht="16" x14ac:dyDescent="0.2">
      <c r="A18" s="81" t="s">
        <v>118</v>
      </c>
      <c r="B18" s="71"/>
      <c r="C18" s="71"/>
      <c r="D18" s="71"/>
      <c r="E18" s="71"/>
      <c r="F18" s="71"/>
    </row>
    <row r="20" spans="1:6" x14ac:dyDescent="0.2">
      <c r="A20" s="1" t="s">
        <v>119</v>
      </c>
      <c r="B20" s="71" t="s">
        <v>120</v>
      </c>
      <c r="C20" s="71"/>
      <c r="D20" s="71"/>
      <c r="E20" s="71"/>
      <c r="F20" s="71"/>
    </row>
    <row r="21" spans="1:6" x14ac:dyDescent="0.2">
      <c r="A21" s="1" t="s">
        <v>121</v>
      </c>
      <c r="B21" s="71" t="s">
        <v>122</v>
      </c>
      <c r="C21" s="71"/>
      <c r="D21" s="71"/>
      <c r="E21" s="71"/>
      <c r="F21" s="71"/>
    </row>
    <row r="22" spans="1:6" x14ac:dyDescent="0.2">
      <c r="A22" s="1" t="s">
        <v>123</v>
      </c>
      <c r="B22" s="71" t="s">
        <v>124</v>
      </c>
      <c r="C22" s="71"/>
      <c r="D22" s="71"/>
      <c r="E22" s="71"/>
      <c r="F22" s="71"/>
    </row>
    <row r="23" spans="1:6" x14ac:dyDescent="0.2">
      <c r="A23" s="1" t="s">
        <v>125</v>
      </c>
      <c r="B23" s="71" t="s">
        <v>126</v>
      </c>
      <c r="C23" s="71"/>
      <c r="D23" s="71"/>
      <c r="E23" s="71"/>
      <c r="F23" s="71"/>
    </row>
    <row r="24" spans="1:6" x14ac:dyDescent="0.2">
      <c r="A24" s="1" t="s">
        <v>127</v>
      </c>
      <c r="B24" s="71" t="s">
        <v>128</v>
      </c>
      <c r="C24" s="71"/>
      <c r="D24" s="71"/>
      <c r="E24" s="71"/>
      <c r="F24" s="71"/>
    </row>
    <row r="26" spans="1:6" ht="16" x14ac:dyDescent="0.2">
      <c r="A26" s="81" t="s">
        <v>129</v>
      </c>
      <c r="B26" s="71"/>
      <c r="C26" s="71"/>
      <c r="D26" s="71"/>
      <c r="E26" s="71"/>
      <c r="F26" s="71"/>
    </row>
    <row r="28" spans="1:6" x14ac:dyDescent="0.2">
      <c r="A28" s="1" t="s">
        <v>130</v>
      </c>
      <c r="B28" s="71" t="e">
        <f>Successo (appuntamento fissato, molto interessato)</f>
        <v>#NAME?</v>
      </c>
      <c r="C28" s="71"/>
      <c r="D28" s="71"/>
      <c r="E28" s="71"/>
      <c r="F28" s="71"/>
    </row>
    <row r="29" spans="1:6" x14ac:dyDescent="0.2">
      <c r="A29" s="1" t="s">
        <v>131</v>
      </c>
      <c r="B29" s="71" t="e">
        <f>In corso (email inviata, da richiamare)</f>
        <v>#NAME?</v>
      </c>
      <c r="C29" s="71"/>
      <c r="D29" s="71"/>
      <c r="E29" s="71"/>
      <c r="F29" s="71"/>
    </row>
    <row r="30" spans="1:6" x14ac:dyDescent="0.2">
      <c r="A30" s="1" t="s">
        <v>132</v>
      </c>
      <c r="B30" s="71" t="e">
        <f>Problema o rifiuto</f>
        <v>#NAME?</v>
      </c>
      <c r="C30" s="71"/>
      <c r="D30" s="71"/>
      <c r="E30" s="71"/>
      <c r="F30" s="71"/>
    </row>
    <row r="31" spans="1:6" x14ac:dyDescent="0.2">
      <c r="A31" s="1" t="s">
        <v>133</v>
      </c>
      <c r="B31" s="71" t="e">
        <f>Neutro</f>
        <v>#NAME?</v>
      </c>
      <c r="C31" s="71"/>
      <c r="D31" s="71"/>
      <c r="E31" s="71"/>
      <c r="F31" s="71"/>
    </row>
    <row r="33" spans="1:6" ht="16" x14ac:dyDescent="0.2">
      <c r="A33" s="81" t="s">
        <v>134</v>
      </c>
      <c r="B33" s="71"/>
      <c r="C33" s="71"/>
      <c r="D33" s="71"/>
      <c r="E33" s="71"/>
      <c r="F33" s="71"/>
    </row>
    <row r="35" spans="1:6" x14ac:dyDescent="0.2">
      <c r="A35" s="1" t="s">
        <v>135</v>
      </c>
      <c r="B35" s="71" t="s">
        <v>136</v>
      </c>
      <c r="C35" s="71"/>
      <c r="D35" s="71"/>
      <c r="E35" s="71"/>
      <c r="F35" s="71"/>
    </row>
    <row r="36" spans="1:6" x14ac:dyDescent="0.2">
      <c r="A36" s="1" t="s">
        <v>137</v>
      </c>
      <c r="B36" s="71" t="s">
        <v>138</v>
      </c>
      <c r="C36" s="71"/>
      <c r="D36" s="71"/>
      <c r="E36" s="71"/>
      <c r="F36" s="71"/>
    </row>
    <row r="37" spans="1:6" x14ac:dyDescent="0.2">
      <c r="A37" s="1" t="s">
        <v>139</v>
      </c>
      <c r="B37" s="71" t="s">
        <v>140</v>
      </c>
      <c r="C37" s="71"/>
      <c r="D37" s="71"/>
      <c r="E37" s="71"/>
      <c r="F37" s="71"/>
    </row>
    <row r="39" spans="1:6" ht="16" x14ac:dyDescent="0.2">
      <c r="A39" s="81" t="s">
        <v>141</v>
      </c>
      <c r="B39" s="71"/>
      <c r="C39" s="71"/>
      <c r="D39" s="71"/>
      <c r="E39" s="71"/>
      <c r="F39" s="71"/>
    </row>
    <row r="40" spans="1:6" x14ac:dyDescent="0.2">
      <c r="B40" s="71" t="s">
        <v>142</v>
      </c>
      <c r="C40" s="71"/>
      <c r="D40" s="71"/>
      <c r="E40" s="71"/>
      <c r="F40" s="71"/>
    </row>
    <row r="41" spans="1:6" x14ac:dyDescent="0.2">
      <c r="B41" s="71" t="s">
        <v>143</v>
      </c>
      <c r="C41" s="71"/>
      <c r="D41" s="71"/>
      <c r="E41" s="71"/>
      <c r="F41" s="71"/>
    </row>
    <row r="42" spans="1:6" x14ac:dyDescent="0.2">
      <c r="B42" s="71" t="s">
        <v>144</v>
      </c>
      <c r="C42" s="71"/>
      <c r="D42" s="71"/>
      <c r="E42" s="71"/>
      <c r="F42" s="71"/>
    </row>
    <row r="44" spans="1:6" ht="17" x14ac:dyDescent="0.2">
      <c r="A44" s="82" t="s">
        <v>145</v>
      </c>
      <c r="B44" s="71"/>
      <c r="C44" s="71"/>
      <c r="D44" s="71"/>
      <c r="E44" s="71"/>
      <c r="F44" s="71"/>
    </row>
    <row r="45" spans="1:6" x14ac:dyDescent="0.2">
      <c r="B45" s="71" t="s">
        <v>146</v>
      </c>
      <c r="C45" s="71"/>
      <c r="D45" s="71"/>
      <c r="E45" s="71"/>
      <c r="F45" s="71"/>
    </row>
    <row r="46" spans="1:6" x14ac:dyDescent="0.2">
      <c r="B46" s="71" t="s">
        <v>147</v>
      </c>
      <c r="C46" s="71"/>
      <c r="D46" s="71"/>
      <c r="E46" s="71"/>
      <c r="F46" s="71"/>
    </row>
  </sheetData>
  <mergeCells count="34">
    <mergeCell ref="A1:F1"/>
    <mergeCell ref="A6:F6"/>
    <mergeCell ref="B45:F45"/>
    <mergeCell ref="B36:F36"/>
    <mergeCell ref="B41:F41"/>
    <mergeCell ref="B35:F35"/>
    <mergeCell ref="B30:F30"/>
    <mergeCell ref="A11:F11"/>
    <mergeCell ref="B24:F24"/>
    <mergeCell ref="B20:F20"/>
    <mergeCell ref="B15:F15"/>
    <mergeCell ref="A4:F4"/>
    <mergeCell ref="B14:F14"/>
    <mergeCell ref="B8:F8"/>
    <mergeCell ref="B13:F13"/>
    <mergeCell ref="B29:F29"/>
    <mergeCell ref="B9:F9"/>
    <mergeCell ref="B7:F7"/>
    <mergeCell ref="B16:F16"/>
    <mergeCell ref="B31:F31"/>
    <mergeCell ref="B12:F12"/>
    <mergeCell ref="B46:F46"/>
    <mergeCell ref="A18:F18"/>
    <mergeCell ref="B22:F22"/>
    <mergeCell ref="A26:F26"/>
    <mergeCell ref="B21:F21"/>
    <mergeCell ref="A33:F33"/>
    <mergeCell ref="B42:F42"/>
    <mergeCell ref="B23:F23"/>
    <mergeCell ref="A44:F44"/>
    <mergeCell ref="B37:F37"/>
    <mergeCell ref="A39:F39"/>
    <mergeCell ref="B40:F40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Settimanale</vt:lpstr>
      <vt:lpstr>Tracker Giornaliero</vt:lpstr>
      <vt:lpstr>Appuntamenti Fissati</vt:lpstr>
      <vt:lpstr>Analisi Obiezioni</vt:lpstr>
      <vt:lpstr>📖 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Ottavia Beffa</cp:lastModifiedBy>
  <dcterms:created xsi:type="dcterms:W3CDTF">2026-01-08T13:32:42Z</dcterms:created>
  <dcterms:modified xsi:type="dcterms:W3CDTF">2026-02-12T14:07:27Z</dcterms:modified>
</cp:coreProperties>
</file>